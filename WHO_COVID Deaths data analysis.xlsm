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showInkAnnotation="0" codeName="ThisWorkbook" hidePivotFieldList="1" autoCompressPictures="0"/>
  <mc:AlternateContent xmlns:mc="http://schemas.openxmlformats.org/markup-compatibility/2006">
    <mc:Choice Requires="x15">
      <x15ac:absPath xmlns:x15ac="http://schemas.microsoft.com/office/spreadsheetml/2010/11/ac" url="C:\Users\user\Downloads\"/>
    </mc:Choice>
  </mc:AlternateContent>
  <xr:revisionPtr revIDLastSave="0" documentId="8_{D694440B-3AA3-45E7-B222-981CA459F03C}" xr6:coauthVersionLast="47" xr6:coauthVersionMax="47" xr10:uidLastSave="{00000000-0000-0000-0000-000000000000}"/>
  <bookViews>
    <workbookView xWindow="-108" yWindow="-108" windowWidth="23256" windowHeight="12456" tabRatio="500" firstSheet="5" activeTab="6" xr2:uid="{00000000-000D-0000-FFFF-FFFF00000000}"/>
  </bookViews>
  <sheets>
    <sheet name="Notes" sheetId="7" r:id="rId1"/>
    <sheet name="Deaths by year" sheetId="8" r:id="rId2"/>
    <sheet name="Deaths by year and month" sheetId="1" r:id="rId3"/>
    <sheet name="Deaths by year, sex and age" sheetId="6" r:id="rId4"/>
    <sheet name="data cleaning" sheetId="9" r:id="rId5"/>
    <sheet name="deaths vs. age group" sheetId="13" r:id="rId6"/>
    <sheet name="death vs year" sheetId="10" r:id="rId7"/>
    <sheet name="deaths vs gender" sheetId="12" r:id="rId8"/>
    <sheet name="Dashboard on the data" sheetId="11" r:id="rId9"/>
  </sheets>
  <definedNames>
    <definedName name="_xlnm._FilterDatabase" localSheetId="3" hidden="1">'Deaths by year, sex and age'!$A$10:$I$138</definedName>
    <definedName name="Slicer_age_group">#N/A</definedName>
    <definedName name="Slicer_sex">#N/A</definedName>
    <definedName name="Slicer_yea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<sst xmlns="http://schemas.openxmlformats.org/spreadsheetml/2006/main" count="1340" uniqueCount="61">
  <si>
    <t/>
  </si>
  <si>
    <t>Year of death</t>
  </si>
  <si>
    <t>Month of death</t>
  </si>
  <si>
    <t>Cumulative excess deaths associated with COVID-19 pandemic (mean)</t>
  </si>
  <si>
    <t>Cumulative excess deaths associated with COVID-19 pandemic (lower 95% confidence interval)</t>
  </si>
  <si>
    <t>Cumulative excess deaths associated with COVID-19 pandemic (upper 95% confidence interval)</t>
  </si>
  <si>
    <t>year</t>
  </si>
  <si>
    <t>month</t>
  </si>
  <si>
    <t>type</t>
  </si>
  <si>
    <t>Estimate type for select year and month (reported or predicted)</t>
  </si>
  <si>
    <t>expected.mean</t>
  </si>
  <si>
    <t>Expected deaths from all-causes by location, year and month (mean)</t>
  </si>
  <si>
    <t>Estimated deaths from all-causes by location, year and month (mean)</t>
  </si>
  <si>
    <t>Excess deaths associated with COVID-19 pandemic from all-causes by location, year and month (mean)</t>
  </si>
  <si>
    <t>income</t>
  </si>
  <si>
    <t>sex</t>
  </si>
  <si>
    <t>Sex (Female or Male)</t>
  </si>
  <si>
    <t>Estimate type for select year (reported or predicted)</t>
  </si>
  <si>
    <t>Expected deaths from all-causes by age, sex and year (mean)</t>
  </si>
  <si>
    <t>Estimated deaths from all-causes by age, sex and year (mean)</t>
  </si>
  <si>
    <t>Excess deaths associated with COVID-19 pandemic from all-causes by age, sex and year (mean)</t>
  </si>
  <si>
    <r>
      <rPr>
        <b/>
        <sz val="11"/>
        <color rgb="FF000000"/>
        <rFont val="Calibri"/>
        <family val="2"/>
      </rPr>
      <t>Disclaimer</t>
    </r>
    <r>
      <rPr>
        <sz val="11"/>
        <color rgb="FF000000"/>
        <rFont val="Calibri"/>
        <family val="2"/>
      </rPr>
      <t xml:space="preserve">
The estimates of excess mortality associated with COVID-19 pandemic have undergone a country consultation process. The estimates presented here may differ from, and should not be regarded as, the official national statistics of individual WHO Member States.</t>
    </r>
  </si>
  <si>
    <r>
      <t xml:space="preserve">This workbook contains the following estimates of excess mortality associated with COVID-19 pandemic by World Bank income group:
</t>
    </r>
    <r>
      <rPr>
        <sz val="11"/>
        <color rgb="FF000000"/>
        <rFont val="Calibri"/>
        <family val="2"/>
      </rPr>
      <t>Monthly time-series of total deaths for January 2020 to December 2021;
Sex and age disaggregation for years 2020 and 2021</t>
    </r>
  </si>
  <si>
    <t>acm.mean</t>
  </si>
  <si>
    <t>LIC</t>
  </si>
  <si>
    <t>LMIC</t>
  </si>
  <si>
    <t>UMIC</t>
  </si>
  <si>
    <t>HIC</t>
  </si>
  <si>
    <t>Predicted</t>
  </si>
  <si>
    <r>
      <t xml:space="preserve">WHO ESTIMATES OF EXCESS MORTALITY ASSOCIATED WITH COVID-19 PANDEMIC (AS OF 5 APRIL 2023)
</t>
    </r>
    <r>
      <rPr>
        <sz val="11"/>
        <rFont val="Calibri"/>
        <family val="2"/>
        <scheme val="minor"/>
      </rPr>
      <t>May 2023
World Health Organization
Geneva, Switzerland</t>
    </r>
  </si>
  <si>
    <r>
      <t xml:space="preserve">Copyright, Permissions, and Referencing
</t>
    </r>
    <r>
      <rPr>
        <sz val="11"/>
        <rFont val="Calibri"/>
        <family val="2"/>
      </rPr>
      <t xml:space="preserve">© World Health Organization 2023, All rights reserved.
WHO supports open access to the published output of its activities as a fundamental part of its mission and a public benefit to be encouraged wherever possible. Permission from WHO is not required for the use of data available for download.
The user shall not, in connection with use of the data, state or imply that WHO endorses or is affiliated with the user, its use of the data, or any content, output, or analysis resulting from or related to the data, or that WHO endorses any entity, organization, company, or product.
The use of the WHO emblem / logo by a user of the data file in connection with its use is not permitted.
For further information, please visit WHO Copyright, Licencing and Permissions: https://www.who.int/about/policies/publishing/copyright
Suggested citation: Estimates of Excess Mortality Associated With COVID-19 Pandemic (as of 5 April 2023). Geneva: World Health Organization, 2023. </t>
    </r>
  </si>
  <si>
    <t>age_group</t>
  </si>
  <si>
    <t>Age-group from 0 to 85 plus</t>
  </si>
  <si>
    <t>Female</t>
  </si>
  <si>
    <t>0-24</t>
  </si>
  <si>
    <t>predicted</t>
  </si>
  <si>
    <t>25-34</t>
  </si>
  <si>
    <t>35-44</t>
  </si>
  <si>
    <t>45-54</t>
  </si>
  <si>
    <t>55-64</t>
  </si>
  <si>
    <t>65-74</t>
  </si>
  <si>
    <t>75-84</t>
  </si>
  <si>
    <t>&gt;85</t>
  </si>
  <si>
    <t>Male</t>
  </si>
  <si>
    <t>Excess deaths associated with COVID-19 pandemic from all-causes per 100,000 (mean)</t>
  </si>
  <si>
    <t>Excess deaths associated with COVID-19 pandemic from all-causes per 100,000 (lower 95% confidence interval)</t>
  </si>
  <si>
    <t>Excess deaths associated with COVID-19 pandemic from all-causes per 100,000 (higher 95% confidence interval)</t>
  </si>
  <si>
    <t>2020-2021</t>
  </si>
  <si>
    <t>excess.mean*</t>
  </si>
  <si>
    <t>excess.low*</t>
  </si>
  <si>
    <t>excess.high*</t>
  </si>
  <si>
    <t>* Deaths caused by other shocks, such as conflicts or natural disasters were removed from the total number of excess deaths to obtain more accurate estimate of the impact of COVID-19 on mortality. Those number of deaths are generated by United Nations Population Division using the following methodology: https://population.un.org/wpp/Publications/Files/WPP2022_Methodology.pdf. Data can be found at: https://population.un.org/wpp/Download/Files/4_Metadata/WPP2022_F02_METADATA.XLSX.</t>
  </si>
  <si>
    <t>cumul.excess.mean*</t>
  </si>
  <si>
    <t>cumul.excess.low*</t>
  </si>
  <si>
    <t>cumul.excess.high*</t>
  </si>
  <si>
    <t>World Bank country classifications by income level, LIC: low-income countries; LMIC: lower-middle-income countries; UMIC: upper-middle-income countries; HIC: high-income countries *The income grouping refers to the World Bank analytical income of economies as of 1 July 2022, based on the 2021 gross national income per capita estimates calculated using the World Bank Atlas method.</t>
  </si>
  <si>
    <t>Row Labels</t>
  </si>
  <si>
    <t>Sum of acm.mean</t>
  </si>
  <si>
    <t>Sum of expected.mean</t>
  </si>
  <si>
    <t>Sum of excess.mean*</t>
  </si>
  <si>
    <t>DEATHS FROM THE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</si>
</sst>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name val="Calibri"/>
    </font>
    <font>
      <sz val="11"/>
      <color theme="1"/>
      <name val="Calibri"/>
      <family val="2"/>
      <scheme val="minor"/>
    </font>
    <font>
      <sz val="11"/>
      <color theme="1"/>
      <name val="Calibri"/>
      <family val="2"/>
      <scheme val="minor"/>
    </font>
    <font>
      <sz val="11"/>
      <color rgb="FF000000"/>
      <name val="Calibri"/>
      <family val="2"/>
      <scheme val="minor"/>
    </font>
    <font>
      <b/>
      <sz val="14"/>
      <color rgb="FFB60000"/>
      <name val="Calibri"/>
      <family val="2"/>
      <scheme val="minor"/>
    </font>
    <font>
      <b/>
      <sz val="11"/>
      <color rgb="FF000000"/>
      <name val="Calibri"/>
      <family val="2"/>
    </font>
    <font>
      <sz val="11"/>
      <name val="Calibri"/>
      <family val="2"/>
      <scheme val="minor"/>
    </font>
    <font>
      <sz val="11"/>
      <color rgb="FF000000"/>
      <name val="Calibri"/>
      <family val="2"/>
    </font>
    <font>
      <b/>
      <sz val="11"/>
      <color rgb="FF000000"/>
      <name val="Calibri"/>
      <family val="2"/>
      <scheme val="minor"/>
    </font>
    <font>
      <sz val="11"/>
      <name val="Calibri"/>
      <family val="2"/>
    </font>
    <font>
      <b/>
      <sz val="11"/>
      <color theme="1"/>
      <name val="Calibri"/>
      <family val="2"/>
      <scheme val="minor"/>
    </font>
    <font>
      <sz val="9"/>
      <color theme="1"/>
      <name val="Calibri"/>
      <family val="2"/>
      <scheme val="minor"/>
    </font>
    <font>
      <b/>
      <sz val="18"/>
      <color theme="1"/>
      <name val="Calibri"/>
      <family val="2"/>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s>
  <borders count="12">
    <border>
      <left/>
      <right/>
      <top/>
      <bottom/>
      <diagonal/>
    </border>
    <border>
      <left/>
      <right/>
      <top/>
      <bottom style="thin">
        <color indexed="64"/>
      </bottom>
      <diagonal/>
    </border>
    <border>
      <left/>
      <right/>
      <top style="thin">
        <color rgb="FF000000"/>
      </top>
      <bottom/>
      <diagonal/>
    </border>
    <border>
      <left/>
      <right/>
      <top style="thin">
        <color indexed="64"/>
      </top>
      <bottom/>
      <diagonal/>
    </border>
    <border>
      <left/>
      <right/>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xf numFmtId="0" fontId="2" fillId="0" borderId="0"/>
  </cellStyleXfs>
  <cellXfs count="78">
    <xf numFmtId="0" fontId="0" fillId="0" borderId="0" xfId="0"/>
    <xf numFmtId="0" fontId="3" fillId="0" borderId="0" xfId="1"/>
    <xf numFmtId="0" fontId="5" fillId="0" borderId="0" xfId="1" applyFont="1"/>
    <xf numFmtId="0" fontId="5" fillId="0" borderId="4" xfId="1" applyFont="1" applyBorder="1" applyAlignment="1">
      <alignment horizontal="left"/>
    </xf>
    <xf numFmtId="0" fontId="3" fillId="0" borderId="8" xfId="1" applyBorder="1"/>
    <xf numFmtId="0" fontId="3" fillId="0" borderId="9" xfId="1" applyBorder="1"/>
    <xf numFmtId="0" fontId="7" fillId="0" borderId="8" xfId="1" applyFont="1" applyBorder="1"/>
    <xf numFmtId="0" fontId="0" fillId="2" borderId="1" xfId="0" applyFill="1" applyBorder="1"/>
    <xf numFmtId="0" fontId="5" fillId="0" borderId="4" xfId="0" applyFont="1" applyBorder="1" applyAlignment="1">
      <alignment horizontal="center"/>
    </xf>
    <xf numFmtId="0" fontId="0" fillId="3" borderId="2" xfId="0" applyFill="1" applyBorder="1"/>
    <xf numFmtId="0" fontId="0" fillId="3" borderId="0" xfId="0" applyFill="1"/>
    <xf numFmtId="0" fontId="0" fillId="3" borderId="1" xfId="0" applyFill="1" applyBorder="1"/>
    <xf numFmtId="0" fontId="0" fillId="4" borderId="3" xfId="0" applyFill="1" applyBorder="1"/>
    <xf numFmtId="0" fontId="0" fillId="4" borderId="0" xfId="0" applyFill="1"/>
    <xf numFmtId="0" fontId="0" fillId="4" borderId="1" xfId="0" applyFill="1" applyBorder="1"/>
    <xf numFmtId="0" fontId="3" fillId="0" borderId="0" xfId="1" applyAlignment="1">
      <alignment horizontal="center"/>
    </xf>
    <xf numFmtId="0" fontId="0" fillId="2" borderId="1" xfId="0" applyFill="1" applyBorder="1" applyAlignment="1">
      <alignment horizontal="center"/>
    </xf>
    <xf numFmtId="1" fontId="0" fillId="3" borderId="2" xfId="0" applyNumberFormat="1" applyFill="1" applyBorder="1"/>
    <xf numFmtId="1" fontId="0" fillId="3" borderId="0" xfId="0" applyNumberFormat="1" applyFill="1"/>
    <xf numFmtId="1" fontId="0" fillId="3" borderId="1" xfId="0" applyNumberFormat="1" applyFill="1" applyBorder="1"/>
    <xf numFmtId="1" fontId="0" fillId="4" borderId="3" xfId="0" applyNumberFormat="1" applyFill="1" applyBorder="1"/>
    <xf numFmtId="1" fontId="0" fillId="4" borderId="0" xfId="0" applyNumberFormat="1" applyFill="1"/>
    <xf numFmtId="1" fontId="0" fillId="4" borderId="1" xfId="0" applyNumberFormat="1" applyFill="1" applyBorder="1"/>
    <xf numFmtId="0" fontId="0" fillId="2" borderId="0" xfId="0" applyFill="1"/>
    <xf numFmtId="0" fontId="0" fillId="2" borderId="0" xfId="0" applyFill="1" applyAlignment="1">
      <alignment horizontal="center"/>
    </xf>
    <xf numFmtId="0" fontId="3" fillId="2" borderId="0" xfId="1" applyFill="1"/>
    <xf numFmtId="0" fontId="3" fillId="2" borderId="0" xfId="1" applyFill="1" applyAlignment="1">
      <alignment horizontal="center"/>
    </xf>
    <xf numFmtId="0" fontId="0" fillId="4" borderId="0" xfId="0" applyFill="1" applyAlignment="1">
      <alignment horizontal="center"/>
    </xf>
    <xf numFmtId="0" fontId="0" fillId="4" borderId="1" xfId="0" applyFill="1" applyBorder="1" applyAlignment="1">
      <alignment horizontal="center"/>
    </xf>
    <xf numFmtId="0" fontId="3" fillId="2" borderId="1" xfId="1" applyFill="1" applyBorder="1"/>
    <xf numFmtId="0" fontId="3" fillId="2" borderId="1" xfId="1" applyFill="1" applyBorder="1" applyAlignment="1">
      <alignment horizontal="center"/>
    </xf>
    <xf numFmtId="0" fontId="5" fillId="0" borderId="1" xfId="0" applyFont="1" applyBorder="1" applyAlignment="1">
      <alignment horizontal="left"/>
    </xf>
    <xf numFmtId="0" fontId="5" fillId="0" borderId="1" xfId="0" applyFont="1" applyBorder="1" applyAlignment="1">
      <alignment horizontal="center"/>
    </xf>
    <xf numFmtId="1" fontId="3" fillId="0" borderId="0" xfId="1" applyNumberFormat="1"/>
    <xf numFmtId="0" fontId="10" fillId="0" borderId="0" xfId="2" applyFont="1"/>
    <xf numFmtId="0" fontId="2" fillId="0" borderId="0" xfId="2"/>
    <xf numFmtId="0" fontId="10" fillId="0" borderId="0" xfId="2" applyFont="1" applyAlignment="1">
      <alignment vertical="top"/>
    </xf>
    <xf numFmtId="0" fontId="10" fillId="0" borderId="1" xfId="2" applyFont="1" applyBorder="1"/>
    <xf numFmtId="0" fontId="10" fillId="0" borderId="1" xfId="2" applyFont="1" applyBorder="1" applyAlignment="1">
      <alignment horizontal="right"/>
    </xf>
    <xf numFmtId="0" fontId="0" fillId="0" borderId="0" xfId="0" applyAlignment="1">
      <alignment vertical="top" wrapText="1"/>
    </xf>
    <xf numFmtId="0" fontId="2" fillId="2" borderId="0" xfId="2" applyFill="1"/>
    <xf numFmtId="0" fontId="2" fillId="2" borderId="1" xfId="2" applyFill="1" applyBorder="1"/>
    <xf numFmtId="0" fontId="2" fillId="0" borderId="1" xfId="2" applyBorder="1"/>
    <xf numFmtId="1" fontId="0" fillId="2" borderId="0" xfId="0" applyNumberFormat="1" applyFill="1"/>
    <xf numFmtId="1" fontId="0" fillId="2" borderId="1" xfId="0" applyNumberFormat="1" applyFill="1" applyBorder="1"/>
    <xf numFmtId="1" fontId="3" fillId="2" borderId="0" xfId="1" applyNumberFormat="1" applyFill="1"/>
    <xf numFmtId="1" fontId="3" fillId="2" borderId="1" xfId="1" applyNumberFormat="1" applyFill="1" applyBorder="1"/>
    <xf numFmtId="0" fontId="3" fillId="4" borderId="0" xfId="1" applyFill="1"/>
    <xf numFmtId="0" fontId="3" fillId="4" borderId="0" xfId="1" applyFill="1" applyAlignment="1">
      <alignment horizontal="center"/>
    </xf>
    <xf numFmtId="1" fontId="3" fillId="4" borderId="0" xfId="1" applyNumberFormat="1" applyFill="1"/>
    <xf numFmtId="0" fontId="3" fillId="4" borderId="1" xfId="1" applyFill="1" applyBorder="1"/>
    <xf numFmtId="0" fontId="3" fillId="4" borderId="1" xfId="1" applyFill="1" applyBorder="1" applyAlignment="1">
      <alignment horizontal="center"/>
    </xf>
    <xf numFmtId="1" fontId="3" fillId="4" borderId="1" xfId="1" applyNumberFormat="1" applyFill="1" applyBorder="1"/>
    <xf numFmtId="1" fontId="2" fillId="2" borderId="0" xfId="2" applyNumberFormat="1" applyFill="1"/>
    <xf numFmtId="1" fontId="2" fillId="2" borderId="1" xfId="2" applyNumberFormat="1" applyFill="1" applyBorder="1"/>
    <xf numFmtId="1" fontId="2" fillId="0" borderId="0" xfId="2" applyNumberFormat="1"/>
    <xf numFmtId="1" fontId="2" fillId="0" borderId="1" xfId="2" applyNumberFormat="1" applyBorder="1"/>
    <xf numFmtId="0" fontId="11" fillId="0" borderId="0" xfId="2" applyFont="1" applyAlignment="1">
      <alignment vertical="center" wrapText="1"/>
    </xf>
    <xf numFmtId="0" fontId="1" fillId="0" borderId="0" xfId="2" applyFont="1"/>
    <xf numFmtId="0" fontId="0" fillId="0" borderId="0" xfId="0" pivotButton="1"/>
    <xf numFmtId="0" fontId="0" fillId="0" borderId="0" xfId="0" applyAlignment="1">
      <alignment horizontal="left"/>
    </xf>
    <xf numFmtId="0" fontId="0" fillId="7" borderId="0" xfId="0" applyFill="1"/>
    <xf numFmtId="0" fontId="4" fillId="5" borderId="5" xfId="1" applyFont="1" applyFill="1" applyBorder="1" applyAlignment="1">
      <alignment horizontal="center" vertical="center" wrapText="1"/>
    </xf>
    <xf numFmtId="0" fontId="4" fillId="5" borderId="6" xfId="1" applyFont="1" applyFill="1" applyBorder="1" applyAlignment="1">
      <alignment horizontal="center" vertical="center"/>
    </xf>
    <xf numFmtId="0" fontId="4" fillId="5" borderId="7" xfId="1" applyFont="1" applyFill="1" applyBorder="1" applyAlignment="1">
      <alignment horizontal="center" vertical="center"/>
    </xf>
    <xf numFmtId="0" fontId="5" fillId="0" borderId="8" xfId="1" applyFont="1" applyBorder="1" applyAlignment="1">
      <alignment horizontal="left" vertical="top" wrapText="1"/>
    </xf>
    <xf numFmtId="0" fontId="5" fillId="0" borderId="0" xfId="1" applyFont="1" applyAlignment="1">
      <alignment horizontal="left" vertical="top"/>
    </xf>
    <xf numFmtId="0" fontId="5" fillId="0" borderId="9" xfId="1" applyFont="1" applyBorder="1" applyAlignment="1">
      <alignment horizontal="left" vertical="top"/>
    </xf>
    <xf numFmtId="0" fontId="8" fillId="0" borderId="8" xfId="1" applyFont="1" applyBorder="1" applyAlignment="1">
      <alignment horizontal="left" vertical="top" wrapText="1"/>
    </xf>
    <xf numFmtId="0" fontId="8" fillId="0" borderId="0" xfId="1" applyFont="1" applyAlignment="1">
      <alignment horizontal="left" vertical="top"/>
    </xf>
    <xf numFmtId="0" fontId="8" fillId="0" borderId="9" xfId="1" applyFont="1" applyBorder="1" applyAlignment="1">
      <alignment horizontal="left" vertical="top"/>
    </xf>
    <xf numFmtId="0" fontId="7" fillId="0" borderId="10" xfId="1" applyFont="1" applyBorder="1" applyAlignment="1">
      <alignment horizontal="left" vertical="center" wrapText="1"/>
    </xf>
    <xf numFmtId="0" fontId="7" fillId="0" borderId="1" xfId="1" applyFont="1" applyBorder="1" applyAlignment="1">
      <alignment horizontal="left" vertical="center" wrapText="1"/>
    </xf>
    <xf numFmtId="0" fontId="7" fillId="0" borderId="11" xfId="1" applyFont="1" applyBorder="1" applyAlignment="1">
      <alignment horizontal="left" vertical="center" wrapText="1"/>
    </xf>
    <xf numFmtId="0" fontId="11" fillId="0" borderId="0" xfId="2" applyFont="1" applyAlignment="1">
      <alignment horizontal="left" vertical="center" wrapText="1"/>
    </xf>
    <xf numFmtId="0" fontId="12" fillId="6" borderId="5" xfId="0" applyFont="1" applyFill="1" applyBorder="1" applyAlignment="1">
      <alignment horizontal="center"/>
    </xf>
    <xf numFmtId="0" fontId="12" fillId="6" borderId="6" xfId="0" applyFont="1" applyFill="1" applyBorder="1" applyAlignment="1">
      <alignment horizontal="center"/>
    </xf>
    <xf numFmtId="0" fontId="12" fillId="6" borderId="7" xfId="0" applyFont="1" applyFill="1" applyBorder="1" applyAlignment="1">
      <alignment horizontal="center"/>
    </xf>
  </cellXfs>
  <cellStyles count="3">
    <cellStyle name="Normal" xfId="0" builtinId="0"/>
    <cellStyle name="Normal 2" xfId="1" xr:uid="{D99CE836-F426-4537-A9CC-AB8A2C006A65}"/>
    <cellStyle name="Normal 4" xfId="2" xr:uid="{B8B37108-F5A6-42CC-BF42-70392BA5BF23}"/>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analysis.xlsm]deaths vs. age group!PivotTable11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DEATHS</a:t>
            </a:r>
            <a:r>
              <a:rPr lang="en-IN" baseline="0"/>
              <a:t> VS. AGE GROUP</a:t>
            </a:r>
            <a:endParaRPr lang="en-IN"/>
          </a:p>
        </c:rich>
      </c:tx>
      <c:layout>
        <c:manualLayout>
          <c:xMode val="edge"/>
          <c:yMode val="edge"/>
          <c:x val="0.35383328808036929"/>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'deaths vs. age group'!$B$3</c:f>
              <c:strCache>
                <c:ptCount val="1"/>
                <c:pt idx="0">
                  <c:v>Sum of expected.mean</c:v>
                </c:pt>
              </c:strCache>
            </c:strRef>
          </c:tx>
          <c:spPr>
            <a:solidFill>
              <a:schemeClr val="accent1"/>
            </a:solidFill>
            <a:ln>
              <a:noFill/>
            </a:ln>
            <a:effectLst/>
          </c:spPr>
          <c:invertIfNegative val="0"/>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group'!$B$4:$B$11</c:f>
              <c:numCache>
                <c:formatCode>General</c:formatCode>
                <c:ptCount val="8"/>
                <c:pt idx="0">
                  <c:v>19300806.115980167</c:v>
                </c:pt>
                <c:pt idx="1">
                  <c:v>14021825.103958055</c:v>
                </c:pt>
                <c:pt idx="2">
                  <c:v>3725878.3709196057</c:v>
                </c:pt>
                <c:pt idx="3">
                  <c:v>5087512.4984828383</c:v>
                </c:pt>
                <c:pt idx="4">
                  <c:v>8555811.5375059787</c:v>
                </c:pt>
                <c:pt idx="5">
                  <c:v>14904544.452536423</c:v>
                </c:pt>
                <c:pt idx="6">
                  <c:v>21951644.77111762</c:v>
                </c:pt>
                <c:pt idx="7">
                  <c:v>24183737.514077634</c:v>
                </c:pt>
              </c:numCache>
            </c:numRef>
          </c:val>
          <c:extLst>
            <c:ext xmlns:c16="http://schemas.microsoft.com/office/drawing/2014/chart" uri="{C3380CC4-5D6E-409C-BE32-E72D297353CC}">
              <c16:uniqueId val="{00000000-F368-4B79-AFE2-F6C9C2280DC6}"/>
            </c:ext>
          </c:extLst>
        </c:ser>
        <c:ser>
          <c:idx val="1"/>
          <c:order val="1"/>
          <c:tx>
            <c:strRef>
              <c:f>'deaths vs. age group'!$C$3</c:f>
              <c:strCache>
                <c:ptCount val="1"/>
                <c:pt idx="0">
                  <c:v>Sum of excess.mean*</c:v>
                </c:pt>
              </c:strCache>
            </c:strRef>
          </c:tx>
          <c:spPr>
            <a:solidFill>
              <a:schemeClr val="accent2"/>
            </a:solidFill>
            <a:ln>
              <a:noFill/>
            </a:ln>
            <a:effectLst/>
          </c:spPr>
          <c:invertIfNegative val="0"/>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group'!$C$4:$C$11</c:f>
              <c:numCache>
                <c:formatCode>General</c:formatCode>
                <c:ptCount val="8"/>
                <c:pt idx="0">
                  <c:v>2681421.0850117086</c:v>
                </c:pt>
                <c:pt idx="1">
                  <c:v>-23652.475943215755</c:v>
                </c:pt>
                <c:pt idx="2">
                  <c:v>83664.653817959508</c:v>
                </c:pt>
                <c:pt idx="3">
                  <c:v>654062.42606902076</c:v>
                </c:pt>
                <c:pt idx="4">
                  <c:v>1660785.5339498434</c:v>
                </c:pt>
                <c:pt idx="5">
                  <c:v>2952018.3123782217</c:v>
                </c:pt>
                <c:pt idx="6">
                  <c:v>3964178.3321823305</c:v>
                </c:pt>
                <c:pt idx="7">
                  <c:v>2890409.2050991799</c:v>
                </c:pt>
              </c:numCache>
            </c:numRef>
          </c:val>
          <c:extLst>
            <c:ext xmlns:c16="http://schemas.microsoft.com/office/drawing/2014/chart" uri="{C3380CC4-5D6E-409C-BE32-E72D297353CC}">
              <c16:uniqueId val="{00000001-F368-4B79-AFE2-F6C9C2280DC6}"/>
            </c:ext>
          </c:extLst>
        </c:ser>
        <c:dLbls>
          <c:showLegendKey val="0"/>
          <c:showVal val="0"/>
          <c:showCatName val="0"/>
          <c:showSerName val="0"/>
          <c:showPercent val="0"/>
          <c:showBubbleSize val="0"/>
        </c:dLbls>
        <c:gapWidth val="219"/>
        <c:overlap val="-27"/>
        <c:axId val="436467856"/>
        <c:axId val="813649040"/>
      </c:barChart>
      <c:lineChart>
        <c:grouping val="standard"/>
        <c:varyColors val="0"/>
        <c:ser>
          <c:idx val="2"/>
          <c:order val="2"/>
          <c:tx>
            <c:strRef>
              <c:f>'deaths vs. age group'!$D$3</c:f>
              <c:strCache>
                <c:ptCount val="1"/>
                <c:pt idx="0">
                  <c:v>Sum of acm.mean</c:v>
                </c:pt>
              </c:strCache>
            </c:strRef>
          </c:tx>
          <c:spPr>
            <a:ln w="28575" cap="rnd">
              <a:solidFill>
                <a:schemeClr val="accent3"/>
              </a:solidFill>
              <a:round/>
            </a:ln>
            <a:effectLst/>
          </c:spPr>
          <c:marker>
            <c:symbol val="none"/>
          </c:marker>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group'!$D$4:$D$11</c:f>
              <c:numCache>
                <c:formatCode>General</c:formatCode>
                <c:ptCount val="8"/>
                <c:pt idx="0">
                  <c:v>21988443.084540904</c:v>
                </c:pt>
                <c:pt idx="1">
                  <c:v>14013178.326986654</c:v>
                </c:pt>
                <c:pt idx="2">
                  <c:v>3820551.9516977738</c:v>
                </c:pt>
                <c:pt idx="3">
                  <c:v>5751247.6826894693</c:v>
                </c:pt>
                <c:pt idx="4">
                  <c:v>10224351.165224647</c:v>
                </c:pt>
                <c:pt idx="5">
                  <c:v>17862249.443863425</c:v>
                </c:pt>
                <c:pt idx="6">
                  <c:v>25920911.335594513</c:v>
                </c:pt>
                <c:pt idx="7">
                  <c:v>27083636.848076988</c:v>
                </c:pt>
              </c:numCache>
            </c:numRef>
          </c:val>
          <c:smooth val="0"/>
          <c:extLst>
            <c:ext xmlns:c16="http://schemas.microsoft.com/office/drawing/2014/chart" uri="{C3380CC4-5D6E-409C-BE32-E72D297353CC}">
              <c16:uniqueId val="{00000002-F368-4B79-AFE2-F6C9C2280DC6}"/>
            </c:ext>
          </c:extLst>
        </c:ser>
        <c:dLbls>
          <c:showLegendKey val="0"/>
          <c:showVal val="0"/>
          <c:showCatName val="0"/>
          <c:showSerName val="0"/>
          <c:showPercent val="0"/>
          <c:showBubbleSize val="0"/>
        </c:dLbls>
        <c:marker val="1"/>
        <c:smooth val="0"/>
        <c:axId val="436467856"/>
        <c:axId val="813649040"/>
      </c:lineChart>
      <c:catAx>
        <c:axId val="43646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649040"/>
        <c:crosses val="autoZero"/>
        <c:auto val="1"/>
        <c:lblAlgn val="ctr"/>
        <c:lblOffset val="100"/>
        <c:noMultiLvlLbl val="0"/>
      </c:catAx>
      <c:valAx>
        <c:axId val="813649040"/>
        <c:scaling>
          <c:orientation val="minMax"/>
        </c:scaling>
        <c:delete val="0"/>
        <c:axPos val="l"/>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4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 vs year!PivotTable9</c:name>
    <c:fmtId val="6"/>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'death vs year'!$B$3</c:f>
              <c:strCache>
                <c:ptCount val="1"/>
                <c:pt idx="0">
                  <c:v>Sum of acm.mean</c:v>
                </c:pt>
              </c:strCache>
            </c:strRef>
          </c:tx>
          <c:spPr>
            <a:solidFill>
              <a:schemeClr val="accent1"/>
            </a:solidFill>
            <a:ln>
              <a:noFill/>
            </a:ln>
            <a:effectLst/>
            <a:sp3d/>
          </c:spPr>
          <c:invertIfNegative val="0"/>
          <c:cat>
            <c:strRef>
              <c:f>'death vs year'!$A$4:$A$5</c:f>
              <c:strCache>
                <c:ptCount val="2"/>
                <c:pt idx="0">
                  <c:v>2020</c:v>
                </c:pt>
                <c:pt idx="1">
                  <c:v>2021</c:v>
                </c:pt>
              </c:strCache>
            </c:strRef>
          </c:cat>
          <c:val>
            <c:numRef>
              <c:f>'death vs year'!$B$4:$B$5</c:f>
              <c:numCache>
                <c:formatCode>General</c:formatCode>
                <c:ptCount val="2"/>
                <c:pt idx="0">
                  <c:v>61960715.800674342</c:v>
                </c:pt>
                <c:pt idx="1">
                  <c:v>64703854.03800001</c:v>
                </c:pt>
              </c:numCache>
            </c:numRef>
          </c:val>
          <c:extLst>
            <c:ext xmlns:c16="http://schemas.microsoft.com/office/drawing/2014/chart" uri="{C3380CC4-5D6E-409C-BE32-E72D297353CC}">
              <c16:uniqueId val="{00000000-B9C1-4B99-A639-A0892707FC6F}"/>
            </c:ext>
          </c:extLst>
        </c:ser>
        <c:ser>
          <c:idx val="1"/>
          <c:order val="1"/>
          <c:tx>
            <c:strRef>
              <c:f>'death vs year'!$C$3</c:f>
              <c:strCache>
                <c:ptCount val="1"/>
                <c:pt idx="0">
                  <c:v>Sum of expected.mean</c:v>
                </c:pt>
              </c:strCache>
            </c:strRef>
          </c:tx>
          <c:spPr>
            <a:solidFill>
              <a:schemeClr val="accent2"/>
            </a:solidFill>
            <a:ln>
              <a:noFill/>
            </a:ln>
            <a:effectLst/>
            <a:sp3d/>
          </c:spPr>
          <c:invertIfNegative val="0"/>
          <c:cat>
            <c:strRef>
              <c:f>'death vs year'!$A$4:$A$5</c:f>
              <c:strCache>
                <c:ptCount val="2"/>
                <c:pt idx="0">
                  <c:v>2020</c:v>
                </c:pt>
                <c:pt idx="1">
                  <c:v>2021</c:v>
                </c:pt>
              </c:strCache>
            </c:strRef>
          </c:cat>
          <c:val>
            <c:numRef>
              <c:f>'death vs year'!$C$4:$C$5</c:f>
              <c:numCache>
                <c:formatCode>General</c:formatCode>
                <c:ptCount val="2"/>
                <c:pt idx="0">
                  <c:v>53548883.996637225</c:v>
                </c:pt>
                <c:pt idx="1">
                  <c:v>58182876.367941104</c:v>
                </c:pt>
              </c:numCache>
            </c:numRef>
          </c:val>
          <c:extLst>
            <c:ext xmlns:c16="http://schemas.microsoft.com/office/drawing/2014/chart" uri="{C3380CC4-5D6E-409C-BE32-E72D297353CC}">
              <c16:uniqueId val="{00000001-B9C1-4B99-A639-A0892707FC6F}"/>
            </c:ext>
          </c:extLst>
        </c:ser>
        <c:ser>
          <c:idx val="2"/>
          <c:order val="2"/>
          <c:tx>
            <c:strRef>
              <c:f>'death vs year'!$D$3</c:f>
              <c:strCache>
                <c:ptCount val="1"/>
                <c:pt idx="0">
                  <c:v>Sum of excess.mean*</c:v>
                </c:pt>
              </c:strCache>
            </c:strRef>
          </c:tx>
          <c:spPr>
            <a:solidFill>
              <a:schemeClr val="accent3"/>
            </a:solidFill>
            <a:ln>
              <a:noFill/>
            </a:ln>
            <a:effectLst/>
            <a:sp3d/>
          </c:spPr>
          <c:invertIfNegative val="0"/>
          <c:cat>
            <c:strRef>
              <c:f>'death vs year'!$A$4:$A$5</c:f>
              <c:strCache>
                <c:ptCount val="2"/>
                <c:pt idx="0">
                  <c:v>2020</c:v>
                </c:pt>
                <c:pt idx="1">
                  <c:v>2021</c:v>
                </c:pt>
              </c:strCache>
            </c:strRef>
          </c:cat>
          <c:val>
            <c:numRef>
              <c:f>'death vs year'!$D$4:$D$5</c:f>
              <c:numCache>
                <c:formatCode>General</c:formatCode>
                <c:ptCount val="2"/>
                <c:pt idx="0">
                  <c:v>8405236.4458543397</c:v>
                </c:pt>
                <c:pt idx="1">
                  <c:v>6457650.626710712</c:v>
                </c:pt>
              </c:numCache>
            </c:numRef>
          </c:val>
          <c:extLst>
            <c:ext xmlns:c16="http://schemas.microsoft.com/office/drawing/2014/chart" uri="{C3380CC4-5D6E-409C-BE32-E72D297353CC}">
              <c16:uniqueId val="{00000002-B9C1-4B99-A639-A0892707FC6F}"/>
            </c:ext>
          </c:extLst>
        </c:ser>
        <c:dLbls>
          <c:showLegendKey val="0"/>
          <c:showVal val="0"/>
          <c:showCatName val="0"/>
          <c:showSerName val="0"/>
          <c:showPercent val="0"/>
          <c:showBubbleSize val="0"/>
        </c:dLbls>
        <c:gapWidth val="150"/>
        <c:shape val="box"/>
        <c:axId val="484727792"/>
        <c:axId val="488564144"/>
        <c:axId val="0"/>
      </c:bar3DChart>
      <c:catAx>
        <c:axId val="4847277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64144"/>
        <c:crosses val="autoZero"/>
        <c:auto val="1"/>
        <c:lblAlgn val="ctr"/>
        <c:lblOffset val="100"/>
        <c:noMultiLvlLbl val="0"/>
      </c:catAx>
      <c:valAx>
        <c:axId val="48856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27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analysis.xlsm]deaths vs gender!PivotTable10</c:name>
    <c:fmtId val="5"/>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'deaths vs gender'!$B$3</c:f>
              <c:strCache>
                <c:ptCount val="1"/>
                <c:pt idx="0">
                  <c:v>Sum of expected.mean</c:v>
                </c:pt>
              </c:strCache>
            </c:strRef>
          </c:tx>
          <c:spPr>
            <a:solidFill>
              <a:schemeClr val="accent1"/>
            </a:solidFill>
            <a:ln>
              <a:noFill/>
            </a:ln>
            <a:effectLst/>
            <a:sp3d/>
          </c:spPr>
          <c:invertIfNegative val="0"/>
          <c:cat>
            <c:strRef>
              <c:f>'deaths vs gender'!$A$4:$A$5</c:f>
              <c:strCache>
                <c:ptCount val="2"/>
                <c:pt idx="0">
                  <c:v>Female</c:v>
                </c:pt>
                <c:pt idx="1">
                  <c:v>Male</c:v>
                </c:pt>
              </c:strCache>
            </c:strRef>
          </c:cat>
          <c:val>
            <c:numRef>
              <c:f>'deaths vs gender'!$B$4:$B$5</c:f>
              <c:numCache>
                <c:formatCode>General</c:formatCode>
                <c:ptCount val="2"/>
                <c:pt idx="0">
                  <c:v>51378830.184359886</c:v>
                </c:pt>
                <c:pt idx="1">
                  <c:v>60352930.180218421</c:v>
                </c:pt>
              </c:numCache>
            </c:numRef>
          </c:val>
          <c:extLst>
            <c:ext xmlns:c16="http://schemas.microsoft.com/office/drawing/2014/chart" uri="{C3380CC4-5D6E-409C-BE32-E72D297353CC}">
              <c16:uniqueId val="{00000000-CF0C-4D96-9B44-5A6E40123BF9}"/>
            </c:ext>
          </c:extLst>
        </c:ser>
        <c:ser>
          <c:idx val="1"/>
          <c:order val="1"/>
          <c:tx>
            <c:strRef>
              <c:f>'deaths vs gender'!$C$3</c:f>
              <c:strCache>
                <c:ptCount val="1"/>
                <c:pt idx="0">
                  <c:v>Sum of excess.mean*</c:v>
                </c:pt>
              </c:strCache>
            </c:strRef>
          </c:tx>
          <c:spPr>
            <a:solidFill>
              <a:schemeClr val="accent2"/>
            </a:solidFill>
            <a:ln>
              <a:noFill/>
            </a:ln>
            <a:effectLst/>
            <a:sp3d/>
          </c:spPr>
          <c:invertIfNegative val="0"/>
          <c:cat>
            <c:strRef>
              <c:f>'deaths vs gender'!$A$4:$A$5</c:f>
              <c:strCache>
                <c:ptCount val="2"/>
                <c:pt idx="0">
                  <c:v>Female</c:v>
                </c:pt>
                <c:pt idx="1">
                  <c:v>Male</c:v>
                </c:pt>
              </c:strCache>
            </c:strRef>
          </c:cat>
          <c:val>
            <c:numRef>
              <c:f>'deaths vs gender'!$C$4:$C$5</c:f>
              <c:numCache>
                <c:formatCode>General</c:formatCode>
                <c:ptCount val="2"/>
                <c:pt idx="0">
                  <c:v>6601298.3458115831</c:v>
                </c:pt>
                <c:pt idx="1">
                  <c:v>8261588.7267534677</c:v>
                </c:pt>
              </c:numCache>
            </c:numRef>
          </c:val>
          <c:extLst>
            <c:ext xmlns:c16="http://schemas.microsoft.com/office/drawing/2014/chart" uri="{C3380CC4-5D6E-409C-BE32-E72D297353CC}">
              <c16:uniqueId val="{00000001-CF0C-4D96-9B44-5A6E40123BF9}"/>
            </c:ext>
          </c:extLst>
        </c:ser>
        <c:ser>
          <c:idx val="2"/>
          <c:order val="2"/>
          <c:tx>
            <c:strRef>
              <c:f>'deaths vs gender'!$D$3</c:f>
              <c:strCache>
                <c:ptCount val="1"/>
                <c:pt idx="0">
                  <c:v>Sum of acm.mean</c:v>
                </c:pt>
              </c:strCache>
            </c:strRef>
          </c:tx>
          <c:spPr>
            <a:solidFill>
              <a:schemeClr val="accent3"/>
            </a:solidFill>
            <a:ln>
              <a:noFill/>
            </a:ln>
            <a:effectLst/>
            <a:sp3d/>
          </c:spPr>
          <c:invertIfNegative val="0"/>
          <c:cat>
            <c:strRef>
              <c:f>'deaths vs gender'!$A$4:$A$5</c:f>
              <c:strCache>
                <c:ptCount val="2"/>
                <c:pt idx="0">
                  <c:v>Female</c:v>
                </c:pt>
                <c:pt idx="1">
                  <c:v>Male</c:v>
                </c:pt>
              </c:strCache>
            </c:strRef>
          </c:cat>
          <c:val>
            <c:numRef>
              <c:f>'deaths vs gender'!$D$4:$D$5</c:f>
              <c:numCache>
                <c:formatCode>General</c:formatCode>
                <c:ptCount val="2"/>
                <c:pt idx="0">
                  <c:v>58016433.568321943</c:v>
                </c:pt>
                <c:pt idx="1">
                  <c:v>68648136.270352423</c:v>
                </c:pt>
              </c:numCache>
            </c:numRef>
          </c:val>
          <c:extLst>
            <c:ext xmlns:c16="http://schemas.microsoft.com/office/drawing/2014/chart" uri="{C3380CC4-5D6E-409C-BE32-E72D297353CC}">
              <c16:uniqueId val="{00000002-CF0C-4D96-9B44-5A6E40123BF9}"/>
            </c:ext>
          </c:extLst>
        </c:ser>
        <c:dLbls>
          <c:showLegendKey val="0"/>
          <c:showVal val="0"/>
          <c:showCatName val="0"/>
          <c:showSerName val="0"/>
          <c:showPercent val="0"/>
          <c:showBubbleSize val="0"/>
        </c:dLbls>
        <c:gapWidth val="150"/>
        <c:shape val="box"/>
        <c:axId val="484718192"/>
        <c:axId val="596383520"/>
        <c:axId val="0"/>
      </c:bar3DChart>
      <c:catAx>
        <c:axId val="484718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383520"/>
        <c:crosses val="autoZero"/>
        <c:auto val="1"/>
        <c:lblAlgn val="ctr"/>
        <c:lblOffset val="100"/>
        <c:noMultiLvlLbl val="0"/>
      </c:catAx>
      <c:valAx>
        <c:axId val="596383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18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 vs year!PivotTable9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deaths per year</a:t>
            </a:r>
            <a:r>
              <a:rPr lang="en-IN" baseline="0"/>
              <a:t> from 2020-2021</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'death vs year'!$B$3</c:f>
              <c:strCache>
                <c:ptCount val="1"/>
                <c:pt idx="0">
                  <c:v>Sum of acm.mean</c:v>
                </c:pt>
              </c:strCache>
            </c:strRef>
          </c:tx>
          <c:spPr>
            <a:solidFill>
              <a:schemeClr val="accent1"/>
            </a:solidFill>
            <a:ln>
              <a:noFill/>
            </a:ln>
            <a:effectLst/>
          </c:spPr>
          <c:invertIfNegative val="0"/>
          <c:cat>
            <c:strRef>
              <c:f>'death vs year'!$A$4:$A$5</c:f>
              <c:strCache>
                <c:ptCount val="2"/>
                <c:pt idx="0">
                  <c:v>2020</c:v>
                </c:pt>
                <c:pt idx="1">
                  <c:v>2021</c:v>
                </c:pt>
              </c:strCache>
            </c:strRef>
          </c:cat>
          <c:val>
            <c:numRef>
              <c:f>'death vs year'!$B$4:$B$5</c:f>
              <c:numCache>
                <c:formatCode>General</c:formatCode>
                <c:ptCount val="2"/>
                <c:pt idx="0">
                  <c:v>61960715.800674342</c:v>
                </c:pt>
                <c:pt idx="1">
                  <c:v>64703854.03800001</c:v>
                </c:pt>
              </c:numCache>
            </c:numRef>
          </c:val>
          <c:extLst>
            <c:ext xmlns:c16="http://schemas.microsoft.com/office/drawing/2014/chart" uri="{C3380CC4-5D6E-409C-BE32-E72D297353CC}">
              <c16:uniqueId val="{00000000-FE5C-42D1-88AB-3838D8D4D755}"/>
            </c:ext>
          </c:extLst>
        </c:ser>
        <c:ser>
          <c:idx val="1"/>
          <c:order val="1"/>
          <c:tx>
            <c:strRef>
              <c:f>'death vs year'!$C$3</c:f>
              <c:strCache>
                <c:ptCount val="1"/>
                <c:pt idx="0">
                  <c:v>Sum of expected.mean</c:v>
                </c:pt>
              </c:strCache>
            </c:strRef>
          </c:tx>
          <c:spPr>
            <a:solidFill>
              <a:schemeClr val="accent2"/>
            </a:solidFill>
            <a:ln>
              <a:noFill/>
            </a:ln>
            <a:effectLst/>
          </c:spPr>
          <c:invertIfNegative val="0"/>
          <c:cat>
            <c:strRef>
              <c:f>'death vs year'!$A$4:$A$5</c:f>
              <c:strCache>
                <c:ptCount val="2"/>
                <c:pt idx="0">
                  <c:v>2020</c:v>
                </c:pt>
                <c:pt idx="1">
                  <c:v>2021</c:v>
                </c:pt>
              </c:strCache>
            </c:strRef>
          </c:cat>
          <c:val>
            <c:numRef>
              <c:f>'death vs year'!$C$4:$C$5</c:f>
              <c:numCache>
                <c:formatCode>General</c:formatCode>
                <c:ptCount val="2"/>
                <c:pt idx="0">
                  <c:v>53548883.996637225</c:v>
                </c:pt>
                <c:pt idx="1">
                  <c:v>58182876.367941104</c:v>
                </c:pt>
              </c:numCache>
            </c:numRef>
          </c:val>
          <c:extLst>
            <c:ext xmlns:c16="http://schemas.microsoft.com/office/drawing/2014/chart" uri="{C3380CC4-5D6E-409C-BE32-E72D297353CC}">
              <c16:uniqueId val="{00000001-FE5C-42D1-88AB-3838D8D4D755}"/>
            </c:ext>
          </c:extLst>
        </c:ser>
        <c:ser>
          <c:idx val="2"/>
          <c:order val="2"/>
          <c:tx>
            <c:strRef>
              <c:f>'death vs year'!$D$3</c:f>
              <c:strCache>
                <c:ptCount val="1"/>
                <c:pt idx="0">
                  <c:v>Sum of excess.mean*</c:v>
                </c:pt>
              </c:strCache>
            </c:strRef>
          </c:tx>
          <c:spPr>
            <a:solidFill>
              <a:schemeClr val="accent3"/>
            </a:solidFill>
            <a:ln>
              <a:noFill/>
            </a:ln>
            <a:effectLst/>
          </c:spPr>
          <c:invertIfNegative val="0"/>
          <c:cat>
            <c:strRef>
              <c:f>'death vs year'!$A$4:$A$5</c:f>
              <c:strCache>
                <c:ptCount val="2"/>
                <c:pt idx="0">
                  <c:v>2020</c:v>
                </c:pt>
                <c:pt idx="1">
                  <c:v>2021</c:v>
                </c:pt>
              </c:strCache>
            </c:strRef>
          </c:cat>
          <c:val>
            <c:numRef>
              <c:f>'death vs year'!$D$4:$D$5</c:f>
              <c:numCache>
                <c:formatCode>General</c:formatCode>
                <c:ptCount val="2"/>
                <c:pt idx="0">
                  <c:v>8405236.4458543397</c:v>
                </c:pt>
                <c:pt idx="1">
                  <c:v>6457650.626710712</c:v>
                </c:pt>
              </c:numCache>
            </c:numRef>
          </c:val>
          <c:extLst>
            <c:ext xmlns:c16="http://schemas.microsoft.com/office/drawing/2014/chart" uri="{C3380CC4-5D6E-409C-BE32-E72D297353CC}">
              <c16:uniqueId val="{00000002-FE5C-42D1-88AB-3838D8D4D755}"/>
            </c:ext>
          </c:extLst>
        </c:ser>
        <c:dLbls>
          <c:showLegendKey val="0"/>
          <c:showVal val="0"/>
          <c:showCatName val="0"/>
          <c:showSerName val="0"/>
          <c:showPercent val="0"/>
          <c:showBubbleSize val="0"/>
        </c:dLbls>
        <c:gapWidth val="219"/>
        <c:overlap val="-27"/>
        <c:axId val="436464976"/>
        <c:axId val="885851024"/>
      </c:barChart>
      <c:catAx>
        <c:axId val="43646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851024"/>
        <c:crosses val="autoZero"/>
        <c:auto val="1"/>
        <c:lblAlgn val="ctr"/>
        <c:lblOffset val="100"/>
        <c:noMultiLvlLbl val="0"/>
      </c:catAx>
      <c:valAx>
        <c:axId val="885851024"/>
        <c:scaling>
          <c:orientation val="minMax"/>
        </c:scaling>
        <c:delete val="0"/>
        <c:axPos val="l"/>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464976"/>
        <c:crosses val="autoZero"/>
        <c:crossBetween val="between"/>
      </c:valAx>
      <c:spPr>
        <a:noFill/>
        <a:ln>
          <a:noFill/>
        </a:ln>
        <a:effectLst/>
      </c:spPr>
    </c:plotArea>
    <c:legend>
      <c:legendPos val="r"/>
      <c:layout>
        <c:manualLayout>
          <c:xMode val="edge"/>
          <c:yMode val="edge"/>
          <c:x val="0.60280368800053841"/>
          <c:y val="0.38764946048410615"/>
          <c:w val="0.34538596137021332"/>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analysis.xlsm]deaths vs gender!PivotTable10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Deaths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'deaths vs gender'!$B$3</c:f>
              <c:strCache>
                <c:ptCount val="1"/>
                <c:pt idx="0">
                  <c:v>Sum of expected.mean</c:v>
                </c:pt>
              </c:strCache>
            </c:strRef>
          </c:tx>
          <c:spPr>
            <a:solidFill>
              <a:schemeClr val="accent1"/>
            </a:solidFill>
            <a:ln>
              <a:noFill/>
            </a:ln>
            <a:effectLst/>
            <a:sp3d/>
          </c:spPr>
          <c:invertIfNegative val="0"/>
          <c:cat>
            <c:strRef>
              <c:f>'deaths vs gender'!$A$4:$A$5</c:f>
              <c:strCache>
                <c:ptCount val="2"/>
                <c:pt idx="0">
                  <c:v>Female</c:v>
                </c:pt>
                <c:pt idx="1">
                  <c:v>Male</c:v>
                </c:pt>
              </c:strCache>
            </c:strRef>
          </c:cat>
          <c:val>
            <c:numRef>
              <c:f>'deaths vs gender'!$B$4:$B$5</c:f>
              <c:numCache>
                <c:formatCode>General</c:formatCode>
                <c:ptCount val="2"/>
                <c:pt idx="0">
                  <c:v>51378830.184359886</c:v>
                </c:pt>
                <c:pt idx="1">
                  <c:v>60352930.180218421</c:v>
                </c:pt>
              </c:numCache>
            </c:numRef>
          </c:val>
          <c:extLst>
            <c:ext xmlns:c16="http://schemas.microsoft.com/office/drawing/2014/chart" uri="{C3380CC4-5D6E-409C-BE32-E72D297353CC}">
              <c16:uniqueId val="{00000000-CC6B-49BE-BB44-70FCD6B88937}"/>
            </c:ext>
          </c:extLst>
        </c:ser>
        <c:ser>
          <c:idx val="1"/>
          <c:order val="1"/>
          <c:tx>
            <c:strRef>
              <c:f>'deaths vs gender'!$C$3</c:f>
              <c:strCache>
                <c:ptCount val="1"/>
                <c:pt idx="0">
                  <c:v>Sum of excess.mean*</c:v>
                </c:pt>
              </c:strCache>
            </c:strRef>
          </c:tx>
          <c:spPr>
            <a:solidFill>
              <a:schemeClr val="accent2"/>
            </a:solidFill>
            <a:ln>
              <a:noFill/>
            </a:ln>
            <a:effectLst/>
            <a:sp3d/>
          </c:spPr>
          <c:invertIfNegative val="0"/>
          <c:cat>
            <c:strRef>
              <c:f>'deaths vs gender'!$A$4:$A$5</c:f>
              <c:strCache>
                <c:ptCount val="2"/>
                <c:pt idx="0">
                  <c:v>Female</c:v>
                </c:pt>
                <c:pt idx="1">
                  <c:v>Male</c:v>
                </c:pt>
              </c:strCache>
            </c:strRef>
          </c:cat>
          <c:val>
            <c:numRef>
              <c:f>'deaths vs gender'!$C$4:$C$5</c:f>
              <c:numCache>
                <c:formatCode>General</c:formatCode>
                <c:ptCount val="2"/>
                <c:pt idx="0">
                  <c:v>6601298.3458115831</c:v>
                </c:pt>
                <c:pt idx="1">
                  <c:v>8261588.7267534677</c:v>
                </c:pt>
              </c:numCache>
            </c:numRef>
          </c:val>
          <c:extLst>
            <c:ext xmlns:c16="http://schemas.microsoft.com/office/drawing/2014/chart" uri="{C3380CC4-5D6E-409C-BE32-E72D297353CC}">
              <c16:uniqueId val="{00000001-CC6B-49BE-BB44-70FCD6B88937}"/>
            </c:ext>
          </c:extLst>
        </c:ser>
        <c:ser>
          <c:idx val="2"/>
          <c:order val="2"/>
          <c:tx>
            <c:strRef>
              <c:f>'deaths vs gender'!$D$3</c:f>
              <c:strCache>
                <c:ptCount val="1"/>
                <c:pt idx="0">
                  <c:v>Sum of acm.mean</c:v>
                </c:pt>
              </c:strCache>
            </c:strRef>
          </c:tx>
          <c:spPr>
            <a:solidFill>
              <a:schemeClr val="accent3"/>
            </a:solidFill>
            <a:ln>
              <a:noFill/>
            </a:ln>
            <a:effectLst/>
            <a:sp3d/>
          </c:spPr>
          <c:invertIfNegative val="0"/>
          <c:cat>
            <c:strRef>
              <c:f>'deaths vs gender'!$A$4:$A$5</c:f>
              <c:strCache>
                <c:ptCount val="2"/>
                <c:pt idx="0">
                  <c:v>Female</c:v>
                </c:pt>
                <c:pt idx="1">
                  <c:v>Male</c:v>
                </c:pt>
              </c:strCache>
            </c:strRef>
          </c:cat>
          <c:val>
            <c:numRef>
              <c:f>'deaths vs gender'!$D$4:$D$5</c:f>
              <c:numCache>
                <c:formatCode>General</c:formatCode>
                <c:ptCount val="2"/>
                <c:pt idx="0">
                  <c:v>58016433.568321943</c:v>
                </c:pt>
                <c:pt idx="1">
                  <c:v>68648136.270352423</c:v>
                </c:pt>
              </c:numCache>
            </c:numRef>
          </c:val>
          <c:extLst>
            <c:ext xmlns:c16="http://schemas.microsoft.com/office/drawing/2014/chart" uri="{C3380CC4-5D6E-409C-BE32-E72D297353CC}">
              <c16:uniqueId val="{00000002-CC6B-49BE-BB44-70FCD6B88937}"/>
            </c:ext>
          </c:extLst>
        </c:ser>
        <c:dLbls>
          <c:showLegendKey val="0"/>
          <c:showVal val="0"/>
          <c:showCatName val="0"/>
          <c:showSerName val="0"/>
          <c:showPercent val="0"/>
          <c:showBubbleSize val="0"/>
        </c:dLbls>
        <c:gapWidth val="150"/>
        <c:shape val="box"/>
        <c:axId val="1879582240"/>
        <c:axId val="821075952"/>
        <c:axId val="929201328"/>
      </c:bar3DChart>
      <c:catAx>
        <c:axId val="1879582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075952"/>
        <c:crosses val="autoZero"/>
        <c:auto val="1"/>
        <c:lblAlgn val="ctr"/>
        <c:lblOffset val="100"/>
        <c:noMultiLvlLbl val="0"/>
      </c:catAx>
      <c:valAx>
        <c:axId val="8210759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582240"/>
        <c:crosses val="autoZero"/>
        <c:crossBetween val="between"/>
      </c:valAx>
      <c:serAx>
        <c:axId val="92920132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07595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[WHO_COVID Deaths data analysis.xlsm]deaths vs. age group!PivotTable11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DEATHS</a:t>
            </a:r>
            <a:r>
              <a:rPr lang="en-IN" baseline="0"/>
              <a:t> VS. AGE GROUP</a:t>
            </a:r>
            <a:endParaRPr lang="en-IN"/>
          </a:p>
        </c:rich>
      </c:tx>
      <c:layout>
        <c:manualLayout>
          <c:xMode val="edge"/>
          <c:yMode val="edge"/>
          <c:x val="0.35383328808036929"/>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'deaths vs. age group'!$B$3</c:f>
              <c:strCache>
                <c:ptCount val="1"/>
                <c:pt idx="0">
                  <c:v>Sum of expected.mean</c:v>
                </c:pt>
              </c:strCache>
            </c:strRef>
          </c:tx>
          <c:spPr>
            <a:solidFill>
              <a:schemeClr val="accent1"/>
            </a:solidFill>
            <a:ln>
              <a:noFill/>
            </a:ln>
            <a:effectLst/>
          </c:spPr>
          <c:invertIfNegative val="0"/>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group'!$B$4:$B$11</c:f>
              <c:numCache>
                <c:formatCode>General</c:formatCode>
                <c:ptCount val="8"/>
                <c:pt idx="0">
                  <c:v>19300806.115980167</c:v>
                </c:pt>
                <c:pt idx="1">
                  <c:v>14021825.103958055</c:v>
                </c:pt>
                <c:pt idx="2">
                  <c:v>3725878.3709196057</c:v>
                </c:pt>
                <c:pt idx="3">
                  <c:v>5087512.4984828383</c:v>
                </c:pt>
                <c:pt idx="4">
                  <c:v>8555811.5375059787</c:v>
                </c:pt>
                <c:pt idx="5">
                  <c:v>14904544.452536423</c:v>
                </c:pt>
                <c:pt idx="6">
                  <c:v>21951644.77111762</c:v>
                </c:pt>
                <c:pt idx="7">
                  <c:v>24183737.514077634</c:v>
                </c:pt>
              </c:numCache>
            </c:numRef>
          </c:val>
          <c:extLst>
            <c:ext xmlns:c16="http://schemas.microsoft.com/office/drawing/2014/chart" uri="{C3380CC4-5D6E-409C-BE32-E72D297353CC}">
              <c16:uniqueId val="{00000000-10A6-46D7-A7A5-4D450119976E}"/>
            </c:ext>
          </c:extLst>
        </c:ser>
        <c:ser>
          <c:idx val="1"/>
          <c:order val="1"/>
          <c:tx>
            <c:strRef>
              <c:f>'deaths vs. age group'!$C$3</c:f>
              <c:strCache>
                <c:ptCount val="1"/>
                <c:pt idx="0">
                  <c:v>Sum of excess.mean*</c:v>
                </c:pt>
              </c:strCache>
            </c:strRef>
          </c:tx>
          <c:spPr>
            <a:solidFill>
              <a:schemeClr val="accent2"/>
            </a:solidFill>
            <a:ln>
              <a:noFill/>
            </a:ln>
            <a:effectLst/>
          </c:spPr>
          <c:invertIfNegative val="0"/>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group'!$C$4:$C$11</c:f>
              <c:numCache>
                <c:formatCode>General</c:formatCode>
                <c:ptCount val="8"/>
                <c:pt idx="0">
                  <c:v>2681421.0850117086</c:v>
                </c:pt>
                <c:pt idx="1">
                  <c:v>-23652.475943215755</c:v>
                </c:pt>
                <c:pt idx="2">
                  <c:v>83664.653817959508</c:v>
                </c:pt>
                <c:pt idx="3">
                  <c:v>654062.42606902076</c:v>
                </c:pt>
                <c:pt idx="4">
                  <c:v>1660785.5339498434</c:v>
                </c:pt>
                <c:pt idx="5">
                  <c:v>2952018.3123782217</c:v>
                </c:pt>
                <c:pt idx="6">
                  <c:v>3964178.3321823305</c:v>
                </c:pt>
                <c:pt idx="7">
                  <c:v>2890409.2050991799</c:v>
                </c:pt>
              </c:numCache>
            </c:numRef>
          </c:val>
          <c:extLst>
            <c:ext xmlns:c16="http://schemas.microsoft.com/office/drawing/2014/chart" uri="{C3380CC4-5D6E-409C-BE32-E72D297353CC}">
              <c16:uniqueId val="{00000001-10A6-46D7-A7A5-4D450119976E}"/>
            </c:ext>
          </c:extLst>
        </c:ser>
        <c:dLbls>
          <c:showLegendKey val="0"/>
          <c:showVal val="0"/>
          <c:showCatName val="0"/>
          <c:showSerName val="0"/>
          <c:showPercent val="0"/>
          <c:showBubbleSize val="0"/>
        </c:dLbls>
        <c:gapWidth val="219"/>
        <c:overlap val="-27"/>
        <c:axId val="436467856"/>
        <c:axId val="813649040"/>
      </c:barChart>
      <c:lineChart>
        <c:grouping val="standard"/>
        <c:varyColors val="0"/>
        <c:ser>
          <c:idx val="2"/>
          <c:order val="2"/>
          <c:tx>
            <c:strRef>
              <c:f>'deaths vs. age group'!$D$3</c:f>
              <c:strCache>
                <c:ptCount val="1"/>
                <c:pt idx="0">
                  <c:v>Sum of acm.mean</c:v>
                </c:pt>
              </c:strCache>
            </c:strRef>
          </c:tx>
          <c:spPr>
            <a:ln w="28575" cap="rnd">
              <a:solidFill>
                <a:schemeClr val="accent3"/>
              </a:solidFill>
              <a:round/>
            </a:ln>
            <a:effectLst/>
          </c:spPr>
          <c:marker>
            <c:symbol val="none"/>
          </c:marker>
          <c:cat>
            <c:strRef>
              <c:f>'deaths vs. age group'!$A$4:$A$11</c:f>
              <c:strCache>
                <c:ptCount val="8"/>
                <c:pt idx="0">
                  <c:v>&gt;85</c:v>
                </c:pt>
                <c:pt idx="1">
                  <c:v>0-24</c:v>
                </c:pt>
                <c:pt idx="2">
                  <c:v>25-34</c:v>
                </c:pt>
                <c:pt idx="3">
                  <c:v>35-44</c:v>
                </c:pt>
                <c:pt idx="4">
                  <c:v>45-54</c:v>
                </c:pt>
                <c:pt idx="5">
                  <c:v>55-64</c:v>
                </c:pt>
                <c:pt idx="6">
                  <c:v>65-74</c:v>
                </c:pt>
                <c:pt idx="7">
                  <c:v>75-84</c:v>
                </c:pt>
              </c:strCache>
            </c:strRef>
          </c:cat>
          <c:val>
            <c:numRef>
              <c:f>'deaths vs. age group'!$D$4:$D$11</c:f>
              <c:numCache>
                <c:formatCode>General</c:formatCode>
                <c:ptCount val="8"/>
                <c:pt idx="0">
                  <c:v>21988443.084540904</c:v>
                </c:pt>
                <c:pt idx="1">
                  <c:v>14013178.326986654</c:v>
                </c:pt>
                <c:pt idx="2">
                  <c:v>3820551.9516977738</c:v>
                </c:pt>
                <c:pt idx="3">
                  <c:v>5751247.6826894693</c:v>
                </c:pt>
                <c:pt idx="4">
                  <c:v>10224351.165224647</c:v>
                </c:pt>
                <c:pt idx="5">
                  <c:v>17862249.443863425</c:v>
                </c:pt>
                <c:pt idx="6">
                  <c:v>25920911.335594513</c:v>
                </c:pt>
                <c:pt idx="7">
                  <c:v>27083636.848076988</c:v>
                </c:pt>
              </c:numCache>
            </c:numRef>
          </c:val>
          <c:smooth val="0"/>
          <c:extLst>
            <c:ext xmlns:c16="http://schemas.microsoft.com/office/drawing/2014/chart" uri="{C3380CC4-5D6E-409C-BE32-E72D297353CC}">
              <c16:uniqueId val="{00000002-10A6-46D7-A7A5-4D450119976E}"/>
            </c:ext>
          </c:extLst>
        </c:ser>
        <c:dLbls>
          <c:showLegendKey val="0"/>
          <c:showVal val="0"/>
          <c:showCatName val="0"/>
          <c:showSerName val="0"/>
          <c:showPercent val="0"/>
          <c:showBubbleSize val="0"/>
        </c:dLbls>
        <c:marker val="1"/>
        <c:smooth val="0"/>
        <c:axId val="436467856"/>
        <c:axId val="813649040"/>
      </c:lineChart>
      <c:catAx>
        <c:axId val="43646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649040"/>
        <c:crosses val="autoZero"/>
        <c:auto val="1"/>
        <c:lblAlgn val="ctr"/>
        <c:lblOffset val="100"/>
        <c:noMultiLvlLbl val="0"/>
      </c:catAx>
      <c:valAx>
        <c:axId val="813649040"/>
        <c:scaling>
          <c:orientation val="minMax"/>
        </c:scaling>
        <c:delete val="0"/>
        <c:axPos val="l"/>
        <c:numFmt formatCode="0.0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4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524762" cy="457200"/>
    <xdr:pic>
      <xdr:nvPicPr>
        <xdr:cNvPr id="2" name="Picture 1">
          <a:extLst>
            <a:ext uri="{FF2B5EF4-FFF2-40B4-BE49-F238E27FC236}">
              <a16:creationId xmlns:a16="http://schemas.microsoft.com/office/drawing/2014/main" id="{F2CE8200-5746-4F57-958E-650F7F7D8155}"/>
            </a:ext>
          </a:extLst>
        </xdr:cNvPr>
        <xdr:cNvPicPr>
          <a:picLocks noChangeAspect="1"/>
        </xdr:cNvPicPr>
      </xdr:nvPicPr>
      <xdr:blipFill>
        <a:blip xmlns:r="http://schemas.openxmlformats.org/officeDocument/2006/relationships" r:embed="rId1"/>
        <a:stretch>
          <a:fillRect/>
        </a:stretch>
      </xdr:blipFill>
      <xdr:spPr>
        <a:xfrm>
          <a:off x="0" y="0"/>
          <a:ext cx="1524762" cy="4572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198120</xdr:colOff>
      <xdr:row>6</xdr:row>
      <xdr:rowOff>91440</xdr:rowOff>
    </xdr:from>
    <xdr:to>
      <xdr:col>13</xdr:col>
      <xdr:colOff>236220</xdr:colOff>
      <xdr:row>21</xdr:row>
      <xdr:rowOff>91440</xdr:rowOff>
    </xdr:to>
    <xdr:graphicFrame macro="">
      <xdr:nvGraphicFramePr>
        <xdr:cNvPr id="3" name="Chart 2">
          <a:extLst>
            <a:ext uri="{FF2B5EF4-FFF2-40B4-BE49-F238E27FC236}">
              <a16:creationId xmlns:a16="http://schemas.microsoft.com/office/drawing/2014/main" id="{0C488C18-A09B-2E24-E6C6-3DF7C5E90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350520</xdr:colOff>
          <xdr:row>2</xdr:row>
          <xdr:rowOff>30480</xdr:rowOff>
        </xdr:from>
        <xdr:to>
          <xdr:col>10</xdr:col>
          <xdr:colOff>144780</xdr:colOff>
          <xdr:row>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twoCellAnchor>
    <xdr:from>
      <xdr:col>4</xdr:col>
      <xdr:colOff>320040</xdr:colOff>
      <xdr:row>8</xdr:row>
      <xdr:rowOff>91440</xdr:rowOff>
    </xdr:from>
    <xdr:to>
      <xdr:col>12</xdr:col>
      <xdr:colOff>15240</xdr:colOff>
      <xdr:row>23</xdr:row>
      <xdr:rowOff>91440</xdr:rowOff>
    </xdr:to>
    <xdr:graphicFrame macro="">
      <xdr:nvGraphicFramePr>
        <xdr:cNvPr id="4" name="Chart 3">
          <a:extLst>
            <a:ext uri="{FF2B5EF4-FFF2-40B4-BE49-F238E27FC236}">
              <a16:creationId xmlns:a16="http://schemas.microsoft.com/office/drawing/2014/main" id="{67BFCAA0-4A8A-57CD-6336-440329AC0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213360</xdr:colOff>
      <xdr:row>5</xdr:row>
      <xdr:rowOff>160020</xdr:rowOff>
    </xdr:from>
    <xdr:to>
      <xdr:col>11</xdr:col>
      <xdr:colOff>518160</xdr:colOff>
      <xdr:row>20</xdr:row>
      <xdr:rowOff>160020</xdr:rowOff>
    </xdr:to>
    <xdr:graphicFrame macro="">
      <xdr:nvGraphicFramePr>
        <xdr:cNvPr id="3" name="Chart 2">
          <a:extLst>
            <a:ext uri="{FF2B5EF4-FFF2-40B4-BE49-F238E27FC236}">
              <a16:creationId xmlns:a16="http://schemas.microsoft.com/office/drawing/2014/main" id="{4FE81A32-1472-FE22-4AEA-0B2C13599E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91440</xdr:colOff>
      <xdr:row>1</xdr:row>
      <xdr:rowOff>106680</xdr:rowOff>
    </xdr:from>
    <xdr:to>
      <xdr:col>6</xdr:col>
      <xdr:colOff>76200</xdr:colOff>
      <xdr:row>14</xdr:row>
      <xdr:rowOff>144780</xdr:rowOff>
    </xdr:to>
    <xdr:graphicFrame macro="">
      <xdr:nvGraphicFramePr>
        <xdr:cNvPr id="2" name="Chart 1">
          <a:extLst>
            <a:ext uri="{FF2B5EF4-FFF2-40B4-BE49-F238E27FC236}">
              <a16:creationId xmlns:a16="http://schemas.microsoft.com/office/drawing/2014/main" id="{F1A4696B-31B5-42FA-B2B3-D3EF9F383B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541020</xdr:colOff>
      <xdr:row>1</xdr:row>
      <xdr:rowOff>114300</xdr:rowOff>
    </xdr:from>
    <xdr:to>
      <xdr:col>12</xdr:col>
      <xdr:colOff>15240</xdr:colOff>
      <xdr:row>14</xdr:row>
      <xdr:rowOff>144780</xdr:rowOff>
    </xdr:to>
    <xdr:graphicFrame macro="">
      <xdr:nvGraphicFramePr>
        <xdr:cNvPr id="3" name="Chart 2">
          <a:extLst>
            <a:ext uri="{FF2B5EF4-FFF2-40B4-BE49-F238E27FC236}">
              <a16:creationId xmlns:a16="http://schemas.microsoft.com/office/drawing/2014/main" id="{4F36450F-4AB5-4E4F-A443-095A283B2A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106680</xdr:colOff>
      <xdr:row>16</xdr:row>
      <xdr:rowOff>38100</xdr:rowOff>
    </xdr:from>
    <xdr:to>
      <xdr:col>6</xdr:col>
      <xdr:colOff>365760</xdr:colOff>
      <xdr:row>28</xdr:row>
      <xdr:rowOff>114300</xdr:rowOff>
    </xdr:to>
    <xdr:graphicFrame macro="">
      <xdr:nvGraphicFramePr>
        <xdr:cNvPr id="4" name="Chart 3">
          <a:extLst>
            <a:ext uri="{FF2B5EF4-FFF2-40B4-BE49-F238E27FC236}">
              <a16:creationId xmlns:a16="http://schemas.microsoft.com/office/drawing/2014/main" id="{DE6E4F3D-91BE-4A0C-807A-BD4463B0D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594360</xdr:colOff>
      <xdr:row>15</xdr:row>
      <xdr:rowOff>129540</xdr:rowOff>
    </xdr:from>
    <xdr:to>
      <xdr:col>9</xdr:col>
      <xdr:colOff>594360</xdr:colOff>
      <xdr:row>29</xdr:row>
      <xdr:rowOff>36195</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A0419014-A3B7-0DDF-3C09-A492A63809D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251960" y="29946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205740</xdr:colOff>
      <xdr:row>15</xdr:row>
      <xdr:rowOff>129540</xdr:rowOff>
    </xdr:from>
    <xdr:to>
      <xdr:col>13</xdr:col>
      <xdr:colOff>205740</xdr:colOff>
      <xdr:row>29</xdr:row>
      <xdr:rowOff>36195</xdr:rowOff>
    </xdr:to>
    <mc:AlternateContent xmlns:mc="http://schemas.openxmlformats.org/markup-compatibility/2006" xmlns:a14="http://schemas.microsoft.com/office/drawing/2010/main">
      <mc:Choice Requires="a14">
        <xdr:graphicFrame macro="">
          <xdr:nvGraphicFramePr>
            <xdr:cNvPr id="6" name="sex">
              <a:extLst>
                <a:ext uri="{FF2B5EF4-FFF2-40B4-BE49-F238E27FC236}">
                  <a16:creationId xmlns:a16="http://schemas.microsoft.com/office/drawing/2014/main" id="{A15DF92D-43ED-342B-90A5-9381432E66E4}"/>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6301740" y="29946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213360</xdr:colOff>
      <xdr:row>0</xdr:row>
      <xdr:rowOff>83820</xdr:rowOff>
    </xdr:from>
    <xdr:to>
      <xdr:col>16</xdr:col>
      <xdr:colOff>213360</xdr:colOff>
      <xdr:row>13</xdr:row>
      <xdr:rowOff>51435</xdr:rowOff>
    </xdr:to>
    <mc:AlternateContent xmlns:mc="http://schemas.openxmlformats.org/markup-compatibility/2006">
      <mc:Choice xmlns:a14="http://schemas.microsoft.com/office/drawing/2010/main" Requires="a14">
        <xdr:graphicFrame macro="">
          <xdr:nvGraphicFramePr>
            <xdr:cNvPr id="7" name="age_group">
              <a:extLst>
                <a:ext uri="{FF2B5EF4-FFF2-40B4-BE49-F238E27FC236}">
                  <a16:creationId xmlns:a16="http://schemas.microsoft.com/office/drawing/2014/main" id="{3B0AEA81-9CCC-0902-E770-14256A709A6E}"/>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dr:sp macro="" textlink="">
          <xdr:nvSpPr>
            <xdr:cNvPr id="0" name=""/>
            <xdr:cNvSpPr>
              <a:spLocks noTextEdit="1"/>
            </xdr:cNvSpPr>
          </xdr:nvSpPr>
          <xdr:spPr>
            <a:xfrm>
              <a:off x="8138160" y="83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324.745195717594" createdVersion="8" refreshedVersion="8" minRefreshableVersion="3" recordCount="128" xr:uid="{26039D5E-74F2-40DB-BF5A-FE7ECCFEFC54}">
  <cacheSource type="worksheet">
    <worksheetSource ref="A1:H129" sheet="data cleaning"/>
  </cacheSource>
  <cacheFields count="8">
    <cacheField name="income" numFmtId="0">
      <sharedItems/>
    </cacheField>
    <cacheField name="year" numFmtId="0">
      <sharedItems containsSemiMixedTypes="0" containsString="0" containsNumber="1" containsInteger="1" minValue="2020" maxValue="2021" count="2">
        <n v="2020"/>
        <n v="2021"/>
      </sharedItems>
    </cacheField>
    <cacheField name="sex" numFmtId="0">
      <sharedItems count="2">
        <s v="Female"/>
        <s v="Male"/>
      </sharedItems>
    </cacheField>
    <cacheField name="age_group" numFmtId="0">
      <sharedItems count="8">
        <s v="0-24"/>
        <s v="25-34"/>
        <s v="35-44"/>
        <s v="45-54"/>
        <s v="55-64"/>
        <s v="65-74"/>
        <s v="75-84"/>
        <s v="&gt;85"/>
      </sharedItems>
    </cacheField>
    <cacheField name="type" numFmtId="0">
      <sharedItems count="1">
        <s v="predicted"/>
      </sharedItems>
    </cacheField>
    <cacheField name="expected.mean" numFmtId="1">
      <sharedItems containsSemiMixedTypes="0" containsString="0" containsNumber="1" minValue="38452.412411024801" maxValue="2575740.6107415101" count="128">
        <n v="931995.03203689202"/>
        <n v="131403.50842929701"/>
        <n v="128722.265445916"/>
        <n v="143548.930342031"/>
        <n v="185707.92209379"/>
        <n v="261945.85253472501"/>
        <n v="265180.54669978999"/>
        <n v="99879.359101811802"/>
        <n v="1170040.9690294999"/>
        <n v="200212.383925476"/>
        <n v="180453.69982816401"/>
        <n v="197096.63812677201"/>
        <n v="231109.66706485901"/>
        <n v="268773.76827572897"/>
        <n v="214366.40783255899"/>
        <n v="54679.130846299202"/>
        <n v="916171.22173709003"/>
        <n v="131179.66710006201"/>
        <n v="128920.243958844"/>
        <n v="143791.18259983"/>
        <n v="186514.24961602199"/>
        <n v="263318.98865530599"/>
        <n v="267172.75751168001"/>
        <n v="100665.800494216"/>
        <n v="1158281.6813634001"/>
        <n v="204718.600214395"/>
        <n v="183518.97425213599"/>
        <n v="199948.00480150199"/>
        <n v="234756.788423527"/>
        <n v="270723.57772077899"/>
        <n v="217568.3749963"/>
        <n v="55278.702209191397"/>
        <n v="1894307.6252780801"/>
        <n v="388080.91964103299"/>
        <n v="522388.69162470201"/>
        <n v="806986.39983913896"/>
        <n v="1352702.61642723"/>
        <n v="1942769.2812896799"/>
        <n v="2087572.48305646"/>
        <n v="1127083.7642262999"/>
        <n v="2247861.8940492501"/>
        <n v="567466.970622828"/>
        <n v="802079.73383381299"/>
        <n v="1207822.71615475"/>
        <n v="1979697.62543194"/>
        <n v="2372039.3100081501"/>
        <n v="1940479.1471204199"/>
        <n v="784467.16027903103"/>
        <n v="1842300.3062797401"/>
        <n v="383400.832086546"/>
        <n v="525122.67489274498"/>
        <n v="810384.708980405"/>
        <n v="1360454.59077981"/>
        <n v="2003135.8984916999"/>
        <n v="2113052.16398199"/>
        <n v="1143983.45067425"/>
        <n v="2192051.1649102401"/>
        <n v="564114.00194312399"/>
        <n v="815553.89482142101"/>
        <n v="1223149.81508691"/>
        <n v="2012716.5859510801"/>
        <n v="2455844.1164582302"/>
        <n v="1958991.91948819"/>
        <n v="793176.63566013705"/>
        <n v="267496.60917284503"/>
        <n v="141882.60437146001"/>
        <n v="225319.58733748901"/>
        <n v="472589.07399830897"/>
        <n v="875589.67280883295"/>
        <n v="1586015.08157959"/>
        <n v="2242877.0517487898"/>
        <n v="2135053.0425050398"/>
        <n v="427369.78517900099"/>
        <n v="310865.76154096797"/>
        <n v="455187.81989149202"/>
        <n v="953755.36843640904"/>
        <n v="1681446.52200188"/>
        <n v="2467068.68848895"/>
        <n v="2378336.1913405601"/>
        <n v="1335314.8798084599"/>
        <n v="251865.471985421"/>
        <n v="137120.45530950601"/>
        <n v="223125.813636476"/>
        <n v="460599.29957234301"/>
        <n v="872772.26113797398"/>
        <n v="1627232.6125842801"/>
        <n v="2227660.9687329298"/>
        <n v="2177341.62062009"/>
        <n v="403582.897989291"/>
        <n v="302436.988805865"/>
        <n v="450724.51046019199"/>
        <n v="935327.84735630301"/>
        <n v="1680140.7416272"/>
        <n v="2544904.13125906"/>
        <n v="2397438.8097748002"/>
        <n v="1373799.6570949"/>
        <n v="59705.3579695523"/>
        <n v="38911.918756904801"/>
        <n v="76522.567090260796"/>
        <n v="178411.31667843199"/>
        <n v="403375.73715641402"/>
        <n v="749981.49777773605"/>
        <n v="1362850.6745764001"/>
        <n v="2540201.8873218899"/>
        <n v="101766.625895477"/>
        <n v="93654.903576851502"/>
        <n v="147565.48275444799"/>
        <n v="324191.76437341899"/>
        <n v="721977.94419027795"/>
        <n v="1177566.6907170501"/>
        <n v="1567336.7095675899"/>
        <n v="1481706.2618931399"/>
        <n v="58301.335731580002"/>
        <n v="38452.412411024801"/>
        <n v="75951.999660205096"/>
        <n v="176846.694981056"/>
        <n v="402935.53476661799"/>
        <n v="762804.19446792302"/>
        <n v="1363451.2812639"/>
        <n v="2575740.6107415101"/>
        <n v="98727.125350695598"/>
        <n v="91976.442184264495"/>
        <n v="146354.53899453301"/>
        <n v="321361.77617837"/>
        <n v="722645.99305896799"/>
        <n v="1197521.0808087301"/>
        <n v="1579402.0263852701"/>
        <n v="1522434.1525039"/>
      </sharedItems>
    </cacheField>
    <cacheField name="acm.mean" numFmtId="1">
      <sharedItems containsSemiMixedTypes="0" containsString="0" containsNumber="1" minValue="42419.717957847002" maxValue="3350858.1474339799" count="128">
        <n v="932266.56077987002"/>
        <n v="119239.32746937701"/>
        <n v="128096.397676001"/>
        <n v="151590.583114801"/>
        <n v="200802.18452977401"/>
        <n v="280850.44736754597"/>
        <n v="264045.82507205801"/>
        <n v="111701.058238806"/>
        <n v="1170381.85041045"/>
        <n v="179309.589985"/>
        <n v="176977.01722954001"/>
        <n v="210398.36918494801"/>
        <n v="261757.21983899601"/>
        <n v="306591.43520283099"/>
        <n v="230671.69159009701"/>
        <n v="65788.958309907801"/>
        <n v="916285.86580538005"/>
        <n v="135363.40620036799"/>
        <n v="147559.81297455801"/>
        <n v="175245.500809285"/>
        <n v="221022.71176652701"/>
        <n v="293447.86805415002"/>
        <n v="284798.003304496"/>
        <n v="120367.813573526"/>
        <n v="1158426.6216551501"/>
        <n v="215297.59322648801"/>
        <n v="211742.10148058299"/>
        <n v="241194.99802690401"/>
        <n v="272074.54407146998"/>
        <n v="304900.62335933099"/>
        <n v="234535.29067950899"/>
        <n v="64080.572012269498"/>
        <n v="1894664.1856456499"/>
        <n v="358818.95253627602"/>
        <n v="534468.68219437404"/>
        <n v="876928.68015482603"/>
        <n v="1500977.43626981"/>
        <n v="2147244.4124858198"/>
        <n v="2171976.0576812602"/>
        <n v="1310259.30429566"/>
        <n v="2253388.4184617"/>
        <n v="521746.92793156899"/>
        <n v="808399.02280501905"/>
        <n v="1322854.4705612401"/>
        <n v="2286116.6070291302"/>
        <n v="2762619.19894352"/>
        <n v="2153813.5431766901"/>
        <n v="994543.93982744601"/>
        <n v="1845863.6971017399"/>
        <n v="426130.72761857102"/>
        <n v="657087.74026558001"/>
        <n v="1124515.4386412301"/>
        <n v="1942520.2401114099"/>
        <n v="2827956.5924497801"/>
        <n v="2706392.66681136"/>
        <n v="1537018.43810878"/>
        <n v="2200238.5978569901"/>
        <n v="621661.426761618"/>
        <n v="1016724.7484697599"/>
        <n v="1650686.9448209901"/>
        <n v="2737522.4780253801"/>
        <n v="3350858.1474339799"/>
        <n v="2546174.0761986002"/>
        <n v="1083732.1569985901"/>
        <n v="251196.10110642199"/>
        <n v="140612.19060242601"/>
        <n v="238124.74426925401"/>
        <n v="518629.38372426899"/>
        <n v="961998.957164024"/>
        <n v="1729465.06450545"/>
        <n v="2365458.7418548898"/>
        <n v="2231326.3658783799"/>
        <n v="410516.19798071298"/>
        <n v="322001.93129153602"/>
        <n v="500195.89815158001"/>
        <n v="1078208.3476309499"/>
        <n v="1861061.7397356699"/>
        <n v="2710478.1275132098"/>
        <n v="2569133.6948382598"/>
        <n v="1458952.69175297"/>
        <n v="249817.22572888399"/>
        <n v="151484.62370286501"/>
        <n v="274517.17348712799"/>
        <n v="591636.69651069003"/>
        <n v="1110796.6012803901"/>
        <n v="1946281.4525512899"/>
        <n v="2485447.3661347502"/>
        <n v="2597774.70333046"/>
        <n v="402384.294850912"/>
        <n v="330903.10723114602"/>
        <n v="543447.67903204297"/>
        <n v="1149199.46318422"/>
        <n v="1964494.3291577301"/>
        <n v="2882830.55793487"/>
        <n v="2586279.2955995402"/>
        <n v="1559984.27728311"/>
        <n v="58531.205269964397"/>
        <n v="42419.717957847002"/>
        <n v="84455.174880487597"/>
        <n v="190119.572785164"/>
        <n v="429427.24808335601"/>
        <n v="812529.79339459597"/>
        <n v="1482196.5598631699"/>
        <n v="2758533.2916794801"/>
        <n v="103075.572622319"/>
        <n v="103617.33098992299"/>
        <n v="168675.24706855099"/>
        <n v="357713.20675217698"/>
        <n v="785228.30882746901"/>
        <n v="1304717.10291589"/>
        <n v="1746416.86142025"/>
        <n v="1688772.8484893499"/>
        <n v="60555.103049286001"/>
        <n v="44541.355558785297"/>
        <n v="87919.946313317196"/>
        <n v="205541.17417648601"/>
        <n v="469458.31927563198"/>
        <n v="878014.13214737899"/>
        <n v="1502541.31706177"/>
        <n v="2719575.64588502"/>
        <n v="105586.828661222"/>
        <n v="107403.742633979"/>
        <n v="172856.29639169399"/>
        <n v="379888.33514646598"/>
        <n v="856990.51869665901"/>
        <n v="1382126.37933487"/>
        <n v="1753755.85679029"/>
        <n v="1686031.01887715"/>
      </sharedItems>
    </cacheField>
    <cacheField name="excess.mean*" numFmtId="1">
      <sharedItems containsSemiMixedTypes="0" containsString="0" containsNumber="1" minValue="-46785.195894171702" maxValue="895343.92589548801" count="125">
        <n v="0"/>
        <n v="-12336.2204718749"/>
        <n v="-670.64136595852301"/>
        <n v="8087.5204635344699"/>
        <n v="15205.0193865694"/>
        <n v="19034.663671218299"/>
        <n v="-1225.2647089929101"/>
        <n v="11921.863684198101"/>
        <n v="-21190.887599796701"/>
        <n v="-3567.94186228848"/>
        <n v="13389.4849605625"/>
        <n v="30915.423337431799"/>
        <n v="38153.038667476401"/>
        <n v="16420.874286111099"/>
        <n v="11215.5019381944"/>
        <n v="4174.6204720400201"/>
        <n v="18656.043721731599"/>
        <n v="31491.365608143798"/>
        <n v="34545.501458454499"/>
        <n v="30148.6229752668"/>
        <n v="17622.6141979532"/>
        <n v="19723.889752982199"/>
        <n v="10571.8532423175"/>
        <n v="28249.5372726811"/>
        <n v="41294.146784719102"/>
        <n v="37353.666284495303"/>
        <n v="34202.948792861796"/>
        <n v="16969.349502873702"/>
        <n v="8810.3512791992198"/>
        <n v="-1283.0661647678"/>
        <n v="-30053.9729229521"/>
        <n v="11545.8577739384"/>
        <n v="69698.3243413335"/>
        <n v="148306.23194079701"/>
        <n v="204558.743962512"/>
        <n v="83346.608608607203"/>
        <n v="183672.85506256201"/>
        <n v="3672.58016087947"/>
        <n v="-46785.195894171702"/>
        <n v="5530.7386036817697"/>
        <n v="114882.81559877"/>
        <n v="307353.92262051901"/>
        <n v="391952.71303443803"/>
        <n v="213496.018587842"/>
        <n v="211056.73514378199"/>
        <n v="2412.4925298275598"/>
        <n v="42408.856501268099"/>
        <n v="131750.92052973199"/>
        <n v="314136.88467244501"/>
        <n v="582328.65849834797"/>
        <n v="825242.14175698103"/>
        <n v="593238.857990894"/>
        <n v="393028.45324619301"/>
        <n v="6865.8300603674197"/>
        <n v="57163.231824869399"/>
        <n v="200946.69285242399"/>
        <n v="427559.38137690001"/>
        <n v="725020.84239814198"/>
        <n v="895343.92589548801"/>
        <n v="587147.39843962004"/>
        <n v="290523.02109096502"/>
        <n v="-18377.161348637099"/>
        <n v="-3340.5980884159098"/>
        <n v="10737.152910520599"/>
        <n v="43976.484541361198"/>
        <n v="84348.555202213494"/>
        <n v="141390.90928697499"/>
        <n v="120504.33027034"/>
        <n v="94190.960236875006"/>
        <n v="-18933.472641256802"/>
        <n v="9066.0665885529997"/>
        <n v="42944.310772097"/>
        <n v="122400.984716441"/>
        <n v="177564.04006801199"/>
        <n v="241360.28484163701"/>
        <n v="188735.89635523601"/>
        <n v="121578.239377889"/>
        <n v="-3420.6027228080202"/>
        <n v="13062.9045031158"/>
        <n v="50139.8895117176"/>
        <n v="129876.205684607"/>
        <n v="236954.53818444701"/>
        <n v="317906.41026167001"/>
        <n v="256323.405490465"/>
        <n v="419326.10130920197"/>
        <n v="-2617.8368903945302"/>
        <n v="27141.308926821501"/>
        <n v="91485.080765753199"/>
        <n v="212731.28288666901"/>
        <n v="283121.69042947399"/>
        <n v="336529.165581254"/>
        <n v="187178.97696634301"/>
        <n v="184845.82208203999"/>
        <n v="-1632.2364772103799"/>
        <n v="3052.0814632455999"/>
        <n v="7477.1474721936802"/>
        <n v="11250.6036668406"/>
        <n v="25591.132154472001"/>
        <n v="62088.782827921103"/>
        <n v="118885.181474365"/>
        <n v="217864.84951510999"/>
        <n v="850.28331223554301"/>
        <n v="9507.0893647982994"/>
        <n v="20656.486033358"/>
        <n v="33066.428372651098"/>
        <n v="62792.066552607299"/>
        <n v="126698.857144776"/>
        <n v="178633.40194899001"/>
        <n v="206632.643755442"/>
        <n v="2102.3968652762801"/>
        <n v="5941.5379191974898"/>
        <n v="11821.5698887241"/>
        <n v="28551.459480925401"/>
        <n v="66387.512545916907"/>
        <n v="115079.51674345499"/>
        <n v="138930.46218204201"/>
        <n v="143588.41568247299"/>
        <n v="6708.3173732726"/>
        <n v="15281.9779889441"/>
        <n v="26359.581188714699"/>
        <n v="58392.160793939503"/>
        <n v="134229.51131632199"/>
        <n v="184487.60673840001"/>
        <n v="174201.09350649099"/>
        <n v="163441.38185460199"/>
      </sharedItems>
    </cacheField>
  </cacheFields>
  <extLst>
    <ext xmlns:x14="http://schemas.microsoft.com/office/spreadsheetml/2009/9/main" uri="{725AE2AE-9491-48be-B2B4-4EB974FC3084}">
      <x14:pivotCacheDefinition pivotCacheId="20962242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
  <r>
    <s v="LIC"/>
    <x v="0"/>
    <x v="0"/>
    <x v="0"/>
    <x v="0"/>
    <x v="0"/>
    <x v="0"/>
    <x v="0"/>
  </r>
  <r>
    <s v="LIC"/>
    <x v="0"/>
    <x v="0"/>
    <x v="1"/>
    <x v="0"/>
    <x v="1"/>
    <x v="1"/>
    <x v="1"/>
  </r>
  <r>
    <s v="LIC"/>
    <x v="0"/>
    <x v="0"/>
    <x v="2"/>
    <x v="0"/>
    <x v="2"/>
    <x v="2"/>
    <x v="2"/>
  </r>
  <r>
    <s v="LIC"/>
    <x v="0"/>
    <x v="0"/>
    <x v="3"/>
    <x v="0"/>
    <x v="3"/>
    <x v="3"/>
    <x v="3"/>
  </r>
  <r>
    <s v="LIC"/>
    <x v="0"/>
    <x v="0"/>
    <x v="4"/>
    <x v="0"/>
    <x v="4"/>
    <x v="4"/>
    <x v="4"/>
  </r>
  <r>
    <s v="LIC"/>
    <x v="0"/>
    <x v="0"/>
    <x v="5"/>
    <x v="0"/>
    <x v="5"/>
    <x v="5"/>
    <x v="5"/>
  </r>
  <r>
    <s v="LIC"/>
    <x v="0"/>
    <x v="0"/>
    <x v="6"/>
    <x v="0"/>
    <x v="6"/>
    <x v="6"/>
    <x v="6"/>
  </r>
  <r>
    <s v="LIC"/>
    <x v="0"/>
    <x v="0"/>
    <x v="7"/>
    <x v="0"/>
    <x v="7"/>
    <x v="7"/>
    <x v="7"/>
  </r>
  <r>
    <s v="LIC"/>
    <x v="0"/>
    <x v="1"/>
    <x v="0"/>
    <x v="0"/>
    <x v="8"/>
    <x v="8"/>
    <x v="0"/>
  </r>
  <r>
    <s v="LIC"/>
    <x v="0"/>
    <x v="1"/>
    <x v="1"/>
    <x v="0"/>
    <x v="9"/>
    <x v="9"/>
    <x v="8"/>
  </r>
  <r>
    <s v="LIC"/>
    <x v="0"/>
    <x v="1"/>
    <x v="2"/>
    <x v="0"/>
    <x v="10"/>
    <x v="10"/>
    <x v="9"/>
  </r>
  <r>
    <s v="LIC"/>
    <x v="0"/>
    <x v="1"/>
    <x v="3"/>
    <x v="0"/>
    <x v="11"/>
    <x v="11"/>
    <x v="10"/>
  </r>
  <r>
    <s v="LIC"/>
    <x v="0"/>
    <x v="1"/>
    <x v="4"/>
    <x v="0"/>
    <x v="12"/>
    <x v="12"/>
    <x v="11"/>
  </r>
  <r>
    <s v="LIC"/>
    <x v="0"/>
    <x v="1"/>
    <x v="5"/>
    <x v="0"/>
    <x v="13"/>
    <x v="13"/>
    <x v="12"/>
  </r>
  <r>
    <s v="LIC"/>
    <x v="0"/>
    <x v="1"/>
    <x v="6"/>
    <x v="0"/>
    <x v="14"/>
    <x v="14"/>
    <x v="13"/>
  </r>
  <r>
    <s v="LIC"/>
    <x v="0"/>
    <x v="1"/>
    <x v="7"/>
    <x v="0"/>
    <x v="15"/>
    <x v="15"/>
    <x v="14"/>
  </r>
  <r>
    <s v="LIC"/>
    <x v="0"/>
    <x v="0"/>
    <x v="0"/>
    <x v="0"/>
    <x v="16"/>
    <x v="16"/>
    <x v="0"/>
  </r>
  <r>
    <s v="LIC"/>
    <x v="0"/>
    <x v="0"/>
    <x v="1"/>
    <x v="0"/>
    <x v="17"/>
    <x v="17"/>
    <x v="15"/>
  </r>
  <r>
    <s v="LIC"/>
    <x v="0"/>
    <x v="0"/>
    <x v="2"/>
    <x v="0"/>
    <x v="18"/>
    <x v="18"/>
    <x v="16"/>
  </r>
  <r>
    <s v="LIC"/>
    <x v="0"/>
    <x v="0"/>
    <x v="3"/>
    <x v="0"/>
    <x v="19"/>
    <x v="19"/>
    <x v="17"/>
  </r>
  <r>
    <s v="LIC"/>
    <x v="0"/>
    <x v="0"/>
    <x v="4"/>
    <x v="0"/>
    <x v="20"/>
    <x v="20"/>
    <x v="18"/>
  </r>
  <r>
    <s v="LIC"/>
    <x v="0"/>
    <x v="0"/>
    <x v="5"/>
    <x v="0"/>
    <x v="21"/>
    <x v="21"/>
    <x v="19"/>
  </r>
  <r>
    <s v="LIC"/>
    <x v="0"/>
    <x v="0"/>
    <x v="6"/>
    <x v="0"/>
    <x v="22"/>
    <x v="22"/>
    <x v="20"/>
  </r>
  <r>
    <s v="LIC"/>
    <x v="0"/>
    <x v="0"/>
    <x v="7"/>
    <x v="0"/>
    <x v="23"/>
    <x v="23"/>
    <x v="21"/>
  </r>
  <r>
    <s v="LIC"/>
    <x v="0"/>
    <x v="1"/>
    <x v="0"/>
    <x v="0"/>
    <x v="24"/>
    <x v="24"/>
    <x v="0"/>
  </r>
  <r>
    <s v="LIC"/>
    <x v="0"/>
    <x v="1"/>
    <x v="1"/>
    <x v="0"/>
    <x v="25"/>
    <x v="25"/>
    <x v="22"/>
  </r>
  <r>
    <s v="LIC"/>
    <x v="0"/>
    <x v="1"/>
    <x v="2"/>
    <x v="0"/>
    <x v="26"/>
    <x v="26"/>
    <x v="23"/>
  </r>
  <r>
    <s v="LIC"/>
    <x v="0"/>
    <x v="1"/>
    <x v="3"/>
    <x v="0"/>
    <x v="27"/>
    <x v="27"/>
    <x v="24"/>
  </r>
  <r>
    <s v="LIC"/>
    <x v="0"/>
    <x v="1"/>
    <x v="4"/>
    <x v="0"/>
    <x v="28"/>
    <x v="28"/>
    <x v="25"/>
  </r>
  <r>
    <s v="LIC"/>
    <x v="0"/>
    <x v="1"/>
    <x v="5"/>
    <x v="0"/>
    <x v="29"/>
    <x v="29"/>
    <x v="26"/>
  </r>
  <r>
    <s v="LIC"/>
    <x v="0"/>
    <x v="1"/>
    <x v="6"/>
    <x v="0"/>
    <x v="30"/>
    <x v="30"/>
    <x v="27"/>
  </r>
  <r>
    <s v="LIC"/>
    <x v="0"/>
    <x v="1"/>
    <x v="7"/>
    <x v="0"/>
    <x v="31"/>
    <x v="31"/>
    <x v="28"/>
  </r>
  <r>
    <s v="LMIC"/>
    <x v="0"/>
    <x v="0"/>
    <x v="0"/>
    <x v="0"/>
    <x v="32"/>
    <x v="32"/>
    <x v="29"/>
  </r>
  <r>
    <s v="LMIC"/>
    <x v="0"/>
    <x v="0"/>
    <x v="1"/>
    <x v="0"/>
    <x v="33"/>
    <x v="33"/>
    <x v="30"/>
  </r>
  <r>
    <s v="LMIC"/>
    <x v="0"/>
    <x v="0"/>
    <x v="2"/>
    <x v="0"/>
    <x v="34"/>
    <x v="34"/>
    <x v="31"/>
  </r>
  <r>
    <s v="LMIC"/>
    <x v="0"/>
    <x v="0"/>
    <x v="3"/>
    <x v="0"/>
    <x v="35"/>
    <x v="35"/>
    <x v="32"/>
  </r>
  <r>
    <s v="LMIC"/>
    <x v="0"/>
    <x v="0"/>
    <x v="4"/>
    <x v="0"/>
    <x v="36"/>
    <x v="36"/>
    <x v="33"/>
  </r>
  <r>
    <s v="LMIC"/>
    <x v="0"/>
    <x v="0"/>
    <x v="5"/>
    <x v="0"/>
    <x v="37"/>
    <x v="37"/>
    <x v="34"/>
  </r>
  <r>
    <s v="LMIC"/>
    <x v="0"/>
    <x v="0"/>
    <x v="6"/>
    <x v="0"/>
    <x v="38"/>
    <x v="38"/>
    <x v="35"/>
  </r>
  <r>
    <s v="LMIC"/>
    <x v="0"/>
    <x v="0"/>
    <x v="7"/>
    <x v="0"/>
    <x v="39"/>
    <x v="39"/>
    <x v="36"/>
  </r>
  <r>
    <s v="LMIC"/>
    <x v="0"/>
    <x v="1"/>
    <x v="0"/>
    <x v="0"/>
    <x v="40"/>
    <x v="40"/>
    <x v="37"/>
  </r>
  <r>
    <s v="LMIC"/>
    <x v="0"/>
    <x v="1"/>
    <x v="1"/>
    <x v="0"/>
    <x v="41"/>
    <x v="41"/>
    <x v="38"/>
  </r>
  <r>
    <s v="LMIC"/>
    <x v="0"/>
    <x v="1"/>
    <x v="2"/>
    <x v="0"/>
    <x v="42"/>
    <x v="42"/>
    <x v="39"/>
  </r>
  <r>
    <s v="LMIC"/>
    <x v="0"/>
    <x v="1"/>
    <x v="3"/>
    <x v="0"/>
    <x v="43"/>
    <x v="43"/>
    <x v="40"/>
  </r>
  <r>
    <s v="LMIC"/>
    <x v="0"/>
    <x v="1"/>
    <x v="4"/>
    <x v="0"/>
    <x v="44"/>
    <x v="44"/>
    <x v="41"/>
  </r>
  <r>
    <s v="LMIC"/>
    <x v="0"/>
    <x v="1"/>
    <x v="5"/>
    <x v="0"/>
    <x v="45"/>
    <x v="45"/>
    <x v="42"/>
  </r>
  <r>
    <s v="LMIC"/>
    <x v="0"/>
    <x v="1"/>
    <x v="6"/>
    <x v="0"/>
    <x v="46"/>
    <x v="46"/>
    <x v="43"/>
  </r>
  <r>
    <s v="LMIC"/>
    <x v="0"/>
    <x v="1"/>
    <x v="7"/>
    <x v="0"/>
    <x v="47"/>
    <x v="47"/>
    <x v="44"/>
  </r>
  <r>
    <s v="LMIC"/>
    <x v="0"/>
    <x v="0"/>
    <x v="0"/>
    <x v="0"/>
    <x v="48"/>
    <x v="48"/>
    <x v="45"/>
  </r>
  <r>
    <s v="LMIC"/>
    <x v="0"/>
    <x v="0"/>
    <x v="1"/>
    <x v="0"/>
    <x v="49"/>
    <x v="49"/>
    <x v="46"/>
  </r>
  <r>
    <s v="LMIC"/>
    <x v="0"/>
    <x v="0"/>
    <x v="2"/>
    <x v="0"/>
    <x v="50"/>
    <x v="50"/>
    <x v="47"/>
  </r>
  <r>
    <s v="LMIC"/>
    <x v="0"/>
    <x v="0"/>
    <x v="3"/>
    <x v="0"/>
    <x v="51"/>
    <x v="51"/>
    <x v="48"/>
  </r>
  <r>
    <s v="LMIC"/>
    <x v="0"/>
    <x v="0"/>
    <x v="4"/>
    <x v="0"/>
    <x v="52"/>
    <x v="52"/>
    <x v="49"/>
  </r>
  <r>
    <s v="LMIC"/>
    <x v="0"/>
    <x v="0"/>
    <x v="5"/>
    <x v="0"/>
    <x v="53"/>
    <x v="53"/>
    <x v="50"/>
  </r>
  <r>
    <s v="LMIC"/>
    <x v="0"/>
    <x v="0"/>
    <x v="6"/>
    <x v="0"/>
    <x v="54"/>
    <x v="54"/>
    <x v="51"/>
  </r>
  <r>
    <s v="LMIC"/>
    <x v="0"/>
    <x v="0"/>
    <x v="7"/>
    <x v="0"/>
    <x v="55"/>
    <x v="55"/>
    <x v="52"/>
  </r>
  <r>
    <s v="LMIC"/>
    <x v="0"/>
    <x v="1"/>
    <x v="0"/>
    <x v="0"/>
    <x v="56"/>
    <x v="56"/>
    <x v="53"/>
  </r>
  <r>
    <s v="LMIC"/>
    <x v="0"/>
    <x v="1"/>
    <x v="1"/>
    <x v="0"/>
    <x v="57"/>
    <x v="57"/>
    <x v="54"/>
  </r>
  <r>
    <s v="LMIC"/>
    <x v="0"/>
    <x v="1"/>
    <x v="2"/>
    <x v="0"/>
    <x v="58"/>
    <x v="58"/>
    <x v="55"/>
  </r>
  <r>
    <s v="LMIC"/>
    <x v="0"/>
    <x v="1"/>
    <x v="3"/>
    <x v="0"/>
    <x v="59"/>
    <x v="59"/>
    <x v="56"/>
  </r>
  <r>
    <s v="LMIC"/>
    <x v="0"/>
    <x v="1"/>
    <x v="4"/>
    <x v="0"/>
    <x v="60"/>
    <x v="60"/>
    <x v="57"/>
  </r>
  <r>
    <s v="LMIC"/>
    <x v="0"/>
    <x v="1"/>
    <x v="5"/>
    <x v="0"/>
    <x v="61"/>
    <x v="61"/>
    <x v="58"/>
  </r>
  <r>
    <s v="LMIC"/>
    <x v="0"/>
    <x v="1"/>
    <x v="6"/>
    <x v="0"/>
    <x v="62"/>
    <x v="62"/>
    <x v="59"/>
  </r>
  <r>
    <s v="LMIC"/>
    <x v="0"/>
    <x v="1"/>
    <x v="7"/>
    <x v="0"/>
    <x v="63"/>
    <x v="63"/>
    <x v="60"/>
  </r>
  <r>
    <s v="UMIC"/>
    <x v="1"/>
    <x v="0"/>
    <x v="0"/>
    <x v="0"/>
    <x v="64"/>
    <x v="64"/>
    <x v="61"/>
  </r>
  <r>
    <s v="UMIC"/>
    <x v="1"/>
    <x v="0"/>
    <x v="1"/>
    <x v="0"/>
    <x v="65"/>
    <x v="65"/>
    <x v="62"/>
  </r>
  <r>
    <s v="UMIC"/>
    <x v="1"/>
    <x v="0"/>
    <x v="2"/>
    <x v="0"/>
    <x v="66"/>
    <x v="66"/>
    <x v="63"/>
  </r>
  <r>
    <s v="UMIC"/>
    <x v="1"/>
    <x v="0"/>
    <x v="3"/>
    <x v="0"/>
    <x v="67"/>
    <x v="67"/>
    <x v="64"/>
  </r>
  <r>
    <s v="UMIC"/>
    <x v="1"/>
    <x v="0"/>
    <x v="4"/>
    <x v="0"/>
    <x v="68"/>
    <x v="68"/>
    <x v="65"/>
  </r>
  <r>
    <s v="UMIC"/>
    <x v="1"/>
    <x v="0"/>
    <x v="5"/>
    <x v="0"/>
    <x v="69"/>
    <x v="69"/>
    <x v="66"/>
  </r>
  <r>
    <s v="UMIC"/>
    <x v="1"/>
    <x v="0"/>
    <x v="6"/>
    <x v="0"/>
    <x v="70"/>
    <x v="70"/>
    <x v="67"/>
  </r>
  <r>
    <s v="UMIC"/>
    <x v="1"/>
    <x v="0"/>
    <x v="7"/>
    <x v="0"/>
    <x v="71"/>
    <x v="71"/>
    <x v="68"/>
  </r>
  <r>
    <s v="UMIC"/>
    <x v="1"/>
    <x v="1"/>
    <x v="0"/>
    <x v="0"/>
    <x v="72"/>
    <x v="72"/>
    <x v="69"/>
  </r>
  <r>
    <s v="UMIC"/>
    <x v="1"/>
    <x v="1"/>
    <x v="1"/>
    <x v="0"/>
    <x v="73"/>
    <x v="73"/>
    <x v="70"/>
  </r>
  <r>
    <s v="UMIC"/>
    <x v="1"/>
    <x v="1"/>
    <x v="2"/>
    <x v="0"/>
    <x v="74"/>
    <x v="74"/>
    <x v="71"/>
  </r>
  <r>
    <s v="UMIC"/>
    <x v="1"/>
    <x v="1"/>
    <x v="3"/>
    <x v="0"/>
    <x v="75"/>
    <x v="75"/>
    <x v="72"/>
  </r>
  <r>
    <s v="UMIC"/>
    <x v="1"/>
    <x v="1"/>
    <x v="4"/>
    <x v="0"/>
    <x v="76"/>
    <x v="76"/>
    <x v="73"/>
  </r>
  <r>
    <s v="UMIC"/>
    <x v="1"/>
    <x v="1"/>
    <x v="5"/>
    <x v="0"/>
    <x v="77"/>
    <x v="77"/>
    <x v="74"/>
  </r>
  <r>
    <s v="UMIC"/>
    <x v="1"/>
    <x v="1"/>
    <x v="6"/>
    <x v="0"/>
    <x v="78"/>
    <x v="78"/>
    <x v="75"/>
  </r>
  <r>
    <s v="UMIC"/>
    <x v="1"/>
    <x v="1"/>
    <x v="7"/>
    <x v="0"/>
    <x v="79"/>
    <x v="79"/>
    <x v="76"/>
  </r>
  <r>
    <s v="UMIC"/>
    <x v="1"/>
    <x v="0"/>
    <x v="0"/>
    <x v="0"/>
    <x v="80"/>
    <x v="80"/>
    <x v="77"/>
  </r>
  <r>
    <s v="UMIC"/>
    <x v="1"/>
    <x v="0"/>
    <x v="1"/>
    <x v="0"/>
    <x v="81"/>
    <x v="81"/>
    <x v="78"/>
  </r>
  <r>
    <s v="UMIC"/>
    <x v="1"/>
    <x v="0"/>
    <x v="2"/>
    <x v="0"/>
    <x v="82"/>
    <x v="82"/>
    <x v="79"/>
  </r>
  <r>
    <s v="UMIC"/>
    <x v="1"/>
    <x v="0"/>
    <x v="3"/>
    <x v="0"/>
    <x v="83"/>
    <x v="83"/>
    <x v="80"/>
  </r>
  <r>
    <s v="UMIC"/>
    <x v="1"/>
    <x v="0"/>
    <x v="4"/>
    <x v="0"/>
    <x v="84"/>
    <x v="84"/>
    <x v="81"/>
  </r>
  <r>
    <s v="UMIC"/>
    <x v="1"/>
    <x v="0"/>
    <x v="5"/>
    <x v="0"/>
    <x v="85"/>
    <x v="85"/>
    <x v="82"/>
  </r>
  <r>
    <s v="UMIC"/>
    <x v="1"/>
    <x v="0"/>
    <x v="6"/>
    <x v="0"/>
    <x v="86"/>
    <x v="86"/>
    <x v="83"/>
  </r>
  <r>
    <s v="UMIC"/>
    <x v="1"/>
    <x v="0"/>
    <x v="7"/>
    <x v="0"/>
    <x v="87"/>
    <x v="87"/>
    <x v="84"/>
  </r>
  <r>
    <s v="UMIC"/>
    <x v="1"/>
    <x v="1"/>
    <x v="0"/>
    <x v="0"/>
    <x v="88"/>
    <x v="88"/>
    <x v="85"/>
  </r>
  <r>
    <s v="UMIC"/>
    <x v="1"/>
    <x v="1"/>
    <x v="1"/>
    <x v="0"/>
    <x v="89"/>
    <x v="89"/>
    <x v="86"/>
  </r>
  <r>
    <s v="UMIC"/>
    <x v="1"/>
    <x v="1"/>
    <x v="2"/>
    <x v="0"/>
    <x v="90"/>
    <x v="90"/>
    <x v="87"/>
  </r>
  <r>
    <s v="UMIC"/>
    <x v="1"/>
    <x v="1"/>
    <x v="3"/>
    <x v="0"/>
    <x v="91"/>
    <x v="91"/>
    <x v="88"/>
  </r>
  <r>
    <s v="UMIC"/>
    <x v="1"/>
    <x v="1"/>
    <x v="4"/>
    <x v="0"/>
    <x v="92"/>
    <x v="92"/>
    <x v="89"/>
  </r>
  <r>
    <s v="UMIC"/>
    <x v="1"/>
    <x v="1"/>
    <x v="5"/>
    <x v="0"/>
    <x v="93"/>
    <x v="93"/>
    <x v="90"/>
  </r>
  <r>
    <s v="UMIC"/>
    <x v="1"/>
    <x v="1"/>
    <x v="6"/>
    <x v="0"/>
    <x v="94"/>
    <x v="94"/>
    <x v="91"/>
  </r>
  <r>
    <s v="UMIC"/>
    <x v="1"/>
    <x v="1"/>
    <x v="7"/>
    <x v="0"/>
    <x v="95"/>
    <x v="95"/>
    <x v="92"/>
  </r>
  <r>
    <s v="HIC"/>
    <x v="1"/>
    <x v="0"/>
    <x v="0"/>
    <x v="0"/>
    <x v="96"/>
    <x v="96"/>
    <x v="93"/>
  </r>
  <r>
    <s v="HIC"/>
    <x v="1"/>
    <x v="0"/>
    <x v="1"/>
    <x v="0"/>
    <x v="97"/>
    <x v="97"/>
    <x v="94"/>
  </r>
  <r>
    <s v="HIC"/>
    <x v="1"/>
    <x v="0"/>
    <x v="2"/>
    <x v="0"/>
    <x v="98"/>
    <x v="98"/>
    <x v="95"/>
  </r>
  <r>
    <s v="HIC"/>
    <x v="1"/>
    <x v="0"/>
    <x v="3"/>
    <x v="0"/>
    <x v="99"/>
    <x v="99"/>
    <x v="96"/>
  </r>
  <r>
    <s v="HIC"/>
    <x v="1"/>
    <x v="0"/>
    <x v="4"/>
    <x v="0"/>
    <x v="100"/>
    <x v="100"/>
    <x v="97"/>
  </r>
  <r>
    <s v="HIC"/>
    <x v="1"/>
    <x v="0"/>
    <x v="5"/>
    <x v="0"/>
    <x v="101"/>
    <x v="101"/>
    <x v="98"/>
  </r>
  <r>
    <s v="HIC"/>
    <x v="1"/>
    <x v="0"/>
    <x v="6"/>
    <x v="0"/>
    <x v="102"/>
    <x v="102"/>
    <x v="99"/>
  </r>
  <r>
    <s v="HIC"/>
    <x v="1"/>
    <x v="0"/>
    <x v="7"/>
    <x v="0"/>
    <x v="103"/>
    <x v="103"/>
    <x v="100"/>
  </r>
  <r>
    <s v="HIC"/>
    <x v="1"/>
    <x v="1"/>
    <x v="0"/>
    <x v="0"/>
    <x v="104"/>
    <x v="104"/>
    <x v="101"/>
  </r>
  <r>
    <s v="HIC"/>
    <x v="1"/>
    <x v="1"/>
    <x v="1"/>
    <x v="0"/>
    <x v="105"/>
    <x v="105"/>
    <x v="102"/>
  </r>
  <r>
    <s v="HIC"/>
    <x v="1"/>
    <x v="1"/>
    <x v="2"/>
    <x v="0"/>
    <x v="106"/>
    <x v="106"/>
    <x v="103"/>
  </r>
  <r>
    <s v="HIC"/>
    <x v="1"/>
    <x v="1"/>
    <x v="3"/>
    <x v="0"/>
    <x v="107"/>
    <x v="107"/>
    <x v="104"/>
  </r>
  <r>
    <s v="HIC"/>
    <x v="1"/>
    <x v="1"/>
    <x v="4"/>
    <x v="0"/>
    <x v="108"/>
    <x v="108"/>
    <x v="105"/>
  </r>
  <r>
    <s v="HIC"/>
    <x v="1"/>
    <x v="1"/>
    <x v="5"/>
    <x v="0"/>
    <x v="109"/>
    <x v="109"/>
    <x v="106"/>
  </r>
  <r>
    <s v="HIC"/>
    <x v="1"/>
    <x v="1"/>
    <x v="6"/>
    <x v="0"/>
    <x v="110"/>
    <x v="110"/>
    <x v="107"/>
  </r>
  <r>
    <s v="HIC"/>
    <x v="1"/>
    <x v="1"/>
    <x v="7"/>
    <x v="0"/>
    <x v="111"/>
    <x v="111"/>
    <x v="108"/>
  </r>
  <r>
    <s v="HIC"/>
    <x v="1"/>
    <x v="0"/>
    <x v="0"/>
    <x v="0"/>
    <x v="112"/>
    <x v="112"/>
    <x v="109"/>
  </r>
  <r>
    <s v="HIC"/>
    <x v="1"/>
    <x v="0"/>
    <x v="1"/>
    <x v="0"/>
    <x v="113"/>
    <x v="113"/>
    <x v="110"/>
  </r>
  <r>
    <s v="HIC"/>
    <x v="1"/>
    <x v="0"/>
    <x v="2"/>
    <x v="0"/>
    <x v="114"/>
    <x v="114"/>
    <x v="111"/>
  </r>
  <r>
    <s v="HIC"/>
    <x v="1"/>
    <x v="0"/>
    <x v="3"/>
    <x v="0"/>
    <x v="115"/>
    <x v="115"/>
    <x v="112"/>
  </r>
  <r>
    <s v="HIC"/>
    <x v="1"/>
    <x v="0"/>
    <x v="4"/>
    <x v="0"/>
    <x v="116"/>
    <x v="116"/>
    <x v="113"/>
  </r>
  <r>
    <s v="HIC"/>
    <x v="1"/>
    <x v="0"/>
    <x v="5"/>
    <x v="0"/>
    <x v="117"/>
    <x v="117"/>
    <x v="114"/>
  </r>
  <r>
    <s v="HIC"/>
    <x v="1"/>
    <x v="0"/>
    <x v="6"/>
    <x v="0"/>
    <x v="118"/>
    <x v="118"/>
    <x v="115"/>
  </r>
  <r>
    <s v="HIC"/>
    <x v="1"/>
    <x v="0"/>
    <x v="7"/>
    <x v="0"/>
    <x v="119"/>
    <x v="119"/>
    <x v="116"/>
  </r>
  <r>
    <s v="HIC"/>
    <x v="1"/>
    <x v="1"/>
    <x v="0"/>
    <x v="0"/>
    <x v="120"/>
    <x v="120"/>
    <x v="117"/>
  </r>
  <r>
    <s v="HIC"/>
    <x v="1"/>
    <x v="1"/>
    <x v="1"/>
    <x v="0"/>
    <x v="121"/>
    <x v="121"/>
    <x v="118"/>
  </r>
  <r>
    <s v="HIC"/>
    <x v="1"/>
    <x v="1"/>
    <x v="2"/>
    <x v="0"/>
    <x v="122"/>
    <x v="122"/>
    <x v="119"/>
  </r>
  <r>
    <s v="HIC"/>
    <x v="1"/>
    <x v="1"/>
    <x v="3"/>
    <x v="0"/>
    <x v="123"/>
    <x v="123"/>
    <x v="120"/>
  </r>
  <r>
    <s v="HIC"/>
    <x v="1"/>
    <x v="1"/>
    <x v="4"/>
    <x v="0"/>
    <x v="124"/>
    <x v="124"/>
    <x v="121"/>
  </r>
  <r>
    <s v="HIC"/>
    <x v="1"/>
    <x v="1"/>
    <x v="5"/>
    <x v="0"/>
    <x v="125"/>
    <x v="125"/>
    <x v="122"/>
  </r>
  <r>
    <s v="HIC"/>
    <x v="1"/>
    <x v="1"/>
    <x v="6"/>
    <x v="0"/>
    <x v="126"/>
    <x v="126"/>
    <x v="123"/>
  </r>
  <r>
    <s v="HIC"/>
    <x v="1"/>
    <x v="1"/>
    <x v="7"/>
    <x v="0"/>
    <x v="127"/>
    <x v="127"/>
    <x v="1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84183C-16CF-4F07-A78A-43BE110EB85A}"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A3:D11" firstHeaderRow="0" firstDataRow="1" firstDataCol="1"/>
  <pivotFields count="8">
    <pivotField showAll="0"/>
    <pivotField showAll="0">
      <items count="3">
        <item x="0"/>
        <item x="1"/>
        <item t="default"/>
      </items>
    </pivotField>
    <pivotField showAll="0">
      <items count="3">
        <item x="0"/>
        <item x="1"/>
        <item t="default"/>
      </items>
    </pivotField>
    <pivotField axis="axisRow" showAll="0">
      <items count="9">
        <item x="7"/>
        <item x="0"/>
        <item x="1"/>
        <item x="2"/>
        <item x="3"/>
        <item x="4"/>
        <item x="5"/>
        <item x="6"/>
        <item t="default"/>
      </items>
    </pivotField>
    <pivotField showAll="0">
      <items count="2">
        <item x="0"/>
        <item t="default"/>
      </items>
    </pivotField>
    <pivotField dataField="1" numFmtId="1" showAll="0"/>
    <pivotField dataField="1" numFmtId="1" showAll="0"/>
    <pivotField dataField="1" numFmtId="1" showAll="0"/>
  </pivotFields>
  <rowFields count="1">
    <field x="3"/>
  </rowFields>
  <rowItems count="8">
    <i>
      <x/>
    </i>
    <i>
      <x v="1"/>
    </i>
    <i>
      <x v="2"/>
    </i>
    <i>
      <x v="3"/>
    </i>
    <i>
      <x v="4"/>
    </i>
    <i>
      <x v="5"/>
    </i>
    <i>
      <x v="6"/>
    </i>
    <i>
      <x v="7"/>
    </i>
  </rowItems>
  <colFields count="1">
    <field x="-2"/>
  </colFields>
  <colItems count="3">
    <i>
      <x/>
    </i>
    <i i="1">
      <x v="1"/>
    </i>
    <i i="2">
      <x v="2"/>
    </i>
  </colItems>
  <dataFields count="3">
    <dataField name="Sum of expected.mean" fld="5" baseField="0" baseItem="0"/>
    <dataField name="Sum of excess.mean*" fld="7" baseField="0" baseItem="0"/>
    <dataField name="Sum of acm.mean" fld="6"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1FED85-3056-4765-9BF5-98D204DA2D78}"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3:D5" firstHeaderRow="0" firstDataRow="1" firstDataCol="1"/>
  <pivotFields count="8">
    <pivotField showAll="0"/>
    <pivotField axis="axisRow" showAll="0">
      <items count="3">
        <item x="0"/>
        <item x="1"/>
        <item t="default"/>
      </items>
    </pivotField>
    <pivotField showAll="0">
      <items count="3">
        <item x="0"/>
        <item x="1"/>
        <item t="default"/>
      </items>
    </pivotField>
    <pivotField showAll="0">
      <items count="9">
        <item x="7"/>
        <item x="0"/>
        <item x="1"/>
        <item x="2"/>
        <item x="3"/>
        <item x="4"/>
        <item x="5"/>
        <item x="6"/>
        <item t="default"/>
      </items>
    </pivotField>
    <pivotField showAll="0"/>
    <pivotField dataField="1" numFmtId="1" showAll="0">
      <items count="129">
        <item x="113"/>
        <item x="97"/>
        <item x="15"/>
        <item x="31"/>
        <item x="112"/>
        <item x="96"/>
        <item x="114"/>
        <item x="98"/>
        <item x="121"/>
        <item x="105"/>
        <item x="120"/>
        <item x="7"/>
        <item x="23"/>
        <item x="104"/>
        <item x="2"/>
        <item x="18"/>
        <item x="17"/>
        <item x="1"/>
        <item x="81"/>
        <item x="65"/>
        <item x="3"/>
        <item x="19"/>
        <item x="122"/>
        <item x="106"/>
        <item x="115"/>
        <item x="99"/>
        <item x="10"/>
        <item x="26"/>
        <item x="4"/>
        <item x="20"/>
        <item x="11"/>
        <item x="27"/>
        <item x="9"/>
        <item x="25"/>
        <item x="14"/>
        <item x="30"/>
        <item x="82"/>
        <item x="66"/>
        <item x="12"/>
        <item x="28"/>
        <item x="80"/>
        <item x="5"/>
        <item x="21"/>
        <item x="6"/>
        <item x="22"/>
        <item x="64"/>
        <item x="13"/>
        <item x="29"/>
        <item x="89"/>
        <item x="73"/>
        <item x="123"/>
        <item x="107"/>
        <item x="49"/>
        <item x="33"/>
        <item x="116"/>
        <item x="100"/>
        <item x="88"/>
        <item x="72"/>
        <item x="90"/>
        <item x="74"/>
        <item x="83"/>
        <item x="67"/>
        <item x="34"/>
        <item x="50"/>
        <item x="57"/>
        <item x="41"/>
        <item x="108"/>
        <item x="124"/>
        <item x="101"/>
        <item x="117"/>
        <item x="47"/>
        <item x="63"/>
        <item x="42"/>
        <item x="35"/>
        <item x="51"/>
        <item x="58"/>
        <item x="84"/>
        <item x="68"/>
        <item x="16"/>
        <item x="0"/>
        <item x="91"/>
        <item x="75"/>
        <item x="39"/>
        <item x="55"/>
        <item x="24"/>
        <item x="8"/>
        <item x="109"/>
        <item x="125"/>
        <item x="43"/>
        <item x="59"/>
        <item x="79"/>
        <item x="36"/>
        <item x="52"/>
        <item x="102"/>
        <item x="118"/>
        <item x="95"/>
        <item x="111"/>
        <item x="127"/>
        <item x="110"/>
        <item x="126"/>
        <item x="69"/>
        <item x="85"/>
        <item x="92"/>
        <item x="76"/>
        <item x="48"/>
        <item x="32"/>
        <item x="46"/>
        <item x="37"/>
        <item x="62"/>
        <item x="44"/>
        <item x="53"/>
        <item x="60"/>
        <item x="38"/>
        <item x="54"/>
        <item x="71"/>
        <item x="87"/>
        <item x="56"/>
        <item x="86"/>
        <item x="70"/>
        <item x="40"/>
        <item x="45"/>
        <item x="78"/>
        <item x="94"/>
        <item x="61"/>
        <item x="77"/>
        <item x="103"/>
        <item x="93"/>
        <item x="119"/>
        <item t="default"/>
      </items>
    </pivotField>
    <pivotField dataField="1" numFmtId="1" showAll="0">
      <items count="129">
        <item x="97"/>
        <item x="113"/>
        <item x="96"/>
        <item x="112"/>
        <item x="31"/>
        <item x="15"/>
        <item x="98"/>
        <item x="114"/>
        <item x="104"/>
        <item x="105"/>
        <item x="120"/>
        <item x="121"/>
        <item x="7"/>
        <item x="1"/>
        <item x="23"/>
        <item x="2"/>
        <item x="17"/>
        <item x="65"/>
        <item x="18"/>
        <item x="81"/>
        <item x="3"/>
        <item x="106"/>
        <item x="122"/>
        <item x="19"/>
        <item x="10"/>
        <item x="9"/>
        <item x="99"/>
        <item x="4"/>
        <item x="115"/>
        <item x="11"/>
        <item x="26"/>
        <item x="25"/>
        <item x="20"/>
        <item x="14"/>
        <item x="30"/>
        <item x="66"/>
        <item x="27"/>
        <item x="80"/>
        <item x="64"/>
        <item x="12"/>
        <item x="6"/>
        <item x="28"/>
        <item x="82"/>
        <item x="5"/>
        <item x="22"/>
        <item x="21"/>
        <item x="29"/>
        <item x="13"/>
        <item x="73"/>
        <item x="89"/>
        <item x="107"/>
        <item x="33"/>
        <item x="123"/>
        <item x="88"/>
        <item x="72"/>
        <item x="49"/>
        <item x="100"/>
        <item x="116"/>
        <item x="74"/>
        <item x="67"/>
        <item x="41"/>
        <item x="34"/>
        <item x="90"/>
        <item x="83"/>
        <item x="57"/>
        <item x="50"/>
        <item x="108"/>
        <item x="42"/>
        <item x="101"/>
        <item x="124"/>
        <item x="35"/>
        <item x="117"/>
        <item x="16"/>
        <item x="0"/>
        <item x="68"/>
        <item x="47"/>
        <item x="58"/>
        <item x="75"/>
        <item x="63"/>
        <item x="84"/>
        <item x="51"/>
        <item x="91"/>
        <item x="24"/>
        <item x="8"/>
        <item x="109"/>
        <item x="39"/>
        <item x="43"/>
        <item x="125"/>
        <item x="79"/>
        <item x="102"/>
        <item x="36"/>
        <item x="118"/>
        <item x="55"/>
        <item x="95"/>
        <item x="59"/>
        <item x="127"/>
        <item x="111"/>
        <item x="69"/>
        <item x="110"/>
        <item x="126"/>
        <item x="48"/>
        <item x="76"/>
        <item x="32"/>
        <item x="52"/>
        <item x="85"/>
        <item x="92"/>
        <item x="37"/>
        <item x="46"/>
        <item x="38"/>
        <item x="56"/>
        <item x="71"/>
        <item x="40"/>
        <item x="44"/>
        <item x="70"/>
        <item x="86"/>
        <item x="62"/>
        <item x="78"/>
        <item x="94"/>
        <item x="87"/>
        <item x="54"/>
        <item x="77"/>
        <item x="119"/>
        <item x="60"/>
        <item x="103"/>
        <item x="45"/>
        <item x="53"/>
        <item x="93"/>
        <item x="61"/>
        <item t="default"/>
      </items>
    </pivotField>
    <pivotField dataField="1" numFmtId="1" showAll="0">
      <items count="126">
        <item x="38"/>
        <item x="30"/>
        <item x="8"/>
        <item x="69"/>
        <item x="61"/>
        <item x="1"/>
        <item x="9"/>
        <item x="77"/>
        <item x="62"/>
        <item x="85"/>
        <item x="93"/>
        <item x="29"/>
        <item x="6"/>
        <item x="2"/>
        <item x="0"/>
        <item x="101"/>
        <item x="109"/>
        <item x="45"/>
        <item x="94"/>
        <item x="37"/>
        <item x="15"/>
        <item x="39"/>
        <item x="110"/>
        <item x="117"/>
        <item x="53"/>
        <item x="95"/>
        <item x="3"/>
        <item x="28"/>
        <item x="70"/>
        <item x="102"/>
        <item x="22"/>
        <item x="63"/>
        <item x="14"/>
        <item x="96"/>
        <item x="31"/>
        <item x="111"/>
        <item x="7"/>
        <item x="78"/>
        <item x="10"/>
        <item x="4"/>
        <item x="118"/>
        <item x="13"/>
        <item x="27"/>
        <item x="20"/>
        <item x="16"/>
        <item x="5"/>
        <item x="21"/>
        <item x="103"/>
        <item x="97"/>
        <item x="119"/>
        <item x="86"/>
        <item x="23"/>
        <item x="112"/>
        <item x="19"/>
        <item x="11"/>
        <item x="17"/>
        <item x="104"/>
        <item x="26"/>
        <item x="18"/>
        <item x="25"/>
        <item x="12"/>
        <item x="24"/>
        <item x="46"/>
        <item x="71"/>
        <item x="64"/>
        <item x="79"/>
        <item x="54"/>
        <item x="120"/>
        <item x="98"/>
        <item x="105"/>
        <item x="113"/>
        <item x="32"/>
        <item x="35"/>
        <item x="65"/>
        <item x="87"/>
        <item x="68"/>
        <item x="40"/>
        <item x="114"/>
        <item x="99"/>
        <item x="67"/>
        <item x="76"/>
        <item x="72"/>
        <item x="106"/>
        <item x="80"/>
        <item x="47"/>
        <item x="121"/>
        <item x="115"/>
        <item x="66"/>
        <item x="116"/>
        <item x="33"/>
        <item x="124"/>
        <item x="123"/>
        <item x="73"/>
        <item x="107"/>
        <item x="36"/>
        <item x="122"/>
        <item x="92"/>
        <item x="91"/>
        <item x="75"/>
        <item x="55"/>
        <item x="34"/>
        <item x="108"/>
        <item x="44"/>
        <item x="88"/>
        <item x="43"/>
        <item x="100"/>
        <item x="81"/>
        <item x="74"/>
        <item x="83"/>
        <item x="89"/>
        <item x="60"/>
        <item x="41"/>
        <item x="48"/>
        <item x="82"/>
        <item x="90"/>
        <item x="42"/>
        <item x="52"/>
        <item x="84"/>
        <item x="56"/>
        <item x="49"/>
        <item x="59"/>
        <item x="51"/>
        <item x="57"/>
        <item x="50"/>
        <item x="58"/>
        <item t="default"/>
      </items>
    </pivotField>
  </pivotFields>
  <rowFields count="1">
    <field x="1"/>
  </rowFields>
  <rowItems count="2">
    <i>
      <x/>
    </i>
    <i>
      <x v="1"/>
    </i>
  </rowItems>
  <colFields count="1">
    <field x="-2"/>
  </colFields>
  <colItems count="3">
    <i>
      <x/>
    </i>
    <i i="1">
      <x v="1"/>
    </i>
    <i i="2">
      <x v="2"/>
    </i>
  </colItems>
  <dataFields count="3">
    <dataField name="Sum of acm.mean" fld="6" baseField="0" baseItem="0"/>
    <dataField name="Sum of expected.mean" fld="5" baseField="0" baseItem="0"/>
    <dataField name="Sum of excess.mean*" fld="7" baseField="0" baseItem="0"/>
  </dataFields>
  <chartFormats count="6">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5CF5A-1193-46EA-A5F5-183ECDFA0EE5}"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A3:D5" firstHeaderRow="0" firstDataRow="1" firstDataCol="1"/>
  <pivotFields count="8">
    <pivotField showAll="0"/>
    <pivotField showAll="0">
      <items count="3">
        <item x="0"/>
        <item x="1"/>
        <item t="default"/>
      </items>
    </pivotField>
    <pivotField axis="axisRow" showAll="0">
      <items count="3">
        <item x="0"/>
        <item x="1"/>
        <item t="default"/>
      </items>
    </pivotField>
    <pivotField showAll="0">
      <items count="9">
        <item x="7"/>
        <item x="0"/>
        <item x="1"/>
        <item x="2"/>
        <item x="3"/>
        <item x="4"/>
        <item x="5"/>
        <item x="6"/>
        <item t="default"/>
      </items>
    </pivotField>
    <pivotField showAll="0">
      <items count="2">
        <item x="0"/>
        <item t="default"/>
      </items>
    </pivotField>
    <pivotField dataField="1" numFmtId="1" showAll="0"/>
    <pivotField dataField="1" numFmtId="1" showAll="0"/>
    <pivotField dataField="1" numFmtId="1" showAll="0"/>
  </pivotFields>
  <rowFields count="1">
    <field x="2"/>
  </rowFields>
  <rowItems count="2">
    <i>
      <x/>
    </i>
    <i>
      <x v="1"/>
    </i>
  </rowItems>
  <colFields count="1">
    <field x="-2"/>
  </colFields>
  <colItems count="3">
    <i>
      <x/>
    </i>
    <i i="1">
      <x v="1"/>
    </i>
    <i i="2">
      <x v="2"/>
    </i>
  </colItems>
  <dataFields count="3">
    <dataField name="Sum of expected.mean" fld="5" baseField="0" baseItem="0"/>
    <dataField name="Sum of excess.mean*" fld="7" baseField="0" baseItem="0"/>
    <dataField name="Sum of acm.mean" fld="6" baseField="0" baseItem="0"/>
  </dataFields>
  <chartFormats count="6">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5E9047E-25BD-441C-A435-2BDC09D3A105}" sourceName="year">
  <pivotTables>
    <pivotTable tabId="10" name="PivotTable9"/>
    <pivotTable tabId="12" name="PivotTable10"/>
    <pivotTable tabId="13" name="PivotTable11"/>
  </pivotTables>
  <data>
    <tabular pivotCacheId="209622423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473A1078-9E82-4FB9-B005-FEA30405C4CF}" sourceName="sex">
  <pivotTables>
    <pivotTable tabId="10" name="PivotTable9"/>
    <pivotTable tabId="12" name="PivotTable10"/>
    <pivotTable tabId="13" name="PivotTable11"/>
  </pivotTables>
  <data>
    <tabular pivotCacheId="209622423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AD519442-34CD-41DF-AE6F-986B88AA9FBF}" sourceName="age_group">
  <pivotTables>
    <pivotTable tabId="10" name="PivotTable9"/>
    <pivotTable tabId="12" name="PivotTable10"/>
    <pivotTable tabId="13" name="PivotTable11"/>
  </pivotTables>
  <data>
    <tabular pivotCacheId="2096224231">
      <items count="8">
        <i x="7" s="1"/>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6FE8E45-E137-4E12-99EC-86D627C9E764}" cache="Slicer_year" caption="year" rowHeight="234950"/>
  <slicer name="sex" xr10:uid="{A0E0C268-DF17-4861-943E-E1858177E0EB}" cache="Slicer_sex" caption="sex" rowHeight="234950"/>
  <slicer name="age_group" xr10:uid="{6A219761-1CD5-4F81-9A9A-C369D08C0168}" cache="Slicer_age_group" caption="age_group" rowHeight="234950"/>
</slicers>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ivotTable" Target="../pivotTables/pivotTable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0C47D-8CC1-413A-8398-F2E357B72927}">
  <sheetPr codeName="Sheet1"/>
  <dimension ref="B4:L11"/>
  <sheetViews>
    <sheetView showGridLines="0" topLeftCell="A16" workbookViewId="0">
      <selection activeCell="B5" sqref="B5:L5"/>
    </sheetView>
  </sheetViews>
  <sheetFormatPr defaultColWidth="11.44140625" defaultRowHeight="14.4"/>
  <cols>
    <col min="1" max="1" width="11.44140625" style="1"/>
    <col min="2" max="10" width="11.44140625" style="1" customWidth="1"/>
    <col min="11" max="16384" width="11.44140625" style="1"/>
  </cols>
  <sheetData>
    <row r="4" spans="2:12" ht="15" thickBot="1">
      <c r="B4" s="1" t="s">
        <v>0</v>
      </c>
    </row>
    <row r="5" spans="2:12" ht="86.25" customHeight="1" thickBot="1">
      <c r="B5" s="62" t="s">
        <v>29</v>
      </c>
      <c r="C5" s="63"/>
      <c r="D5" s="63"/>
      <c r="E5" s="63"/>
      <c r="F5" s="63"/>
      <c r="G5" s="63"/>
      <c r="H5" s="63"/>
      <c r="I5" s="63"/>
      <c r="J5" s="63"/>
      <c r="K5" s="63"/>
      <c r="L5" s="64"/>
    </row>
    <row r="6" spans="2:12">
      <c r="B6" s="4"/>
      <c r="L6" s="5"/>
    </row>
    <row r="7" spans="2:12" ht="47.25" customHeight="1">
      <c r="B7" s="65" t="s">
        <v>22</v>
      </c>
      <c r="C7" s="66"/>
      <c r="D7" s="66"/>
      <c r="E7" s="66"/>
      <c r="F7" s="66"/>
      <c r="G7" s="66"/>
      <c r="H7" s="66"/>
      <c r="I7" s="66"/>
      <c r="J7" s="66"/>
      <c r="K7" s="66"/>
      <c r="L7" s="67"/>
    </row>
    <row r="8" spans="2:12">
      <c r="B8" s="6"/>
      <c r="L8" s="5"/>
    </row>
    <row r="9" spans="2:12" ht="230.25" customHeight="1">
      <c r="B9" s="68" t="s">
        <v>30</v>
      </c>
      <c r="C9" s="69"/>
      <c r="D9" s="69"/>
      <c r="E9" s="69"/>
      <c r="F9" s="69"/>
      <c r="G9" s="69"/>
      <c r="H9" s="69"/>
      <c r="I9" s="69"/>
      <c r="J9" s="69"/>
      <c r="K9" s="69"/>
      <c r="L9" s="70"/>
    </row>
    <row r="10" spans="2:12">
      <c r="B10" s="4"/>
      <c r="L10" s="5"/>
    </row>
    <row r="11" spans="2:12" ht="48" customHeight="1">
      <c r="B11" s="71" t="s">
        <v>21</v>
      </c>
      <c r="C11" s="72"/>
      <c r="D11" s="72"/>
      <c r="E11" s="72"/>
      <c r="F11" s="72"/>
      <c r="G11" s="72"/>
      <c r="H11" s="72"/>
      <c r="I11" s="72"/>
      <c r="J11" s="72"/>
      <c r="K11" s="72"/>
      <c r="L11" s="73"/>
    </row>
  </sheetData>
  <mergeCells count="4">
    <mergeCell ref="B5:L5"/>
    <mergeCell ref="B7:L7"/>
    <mergeCell ref="B9:L9"/>
    <mergeCell ref="B11:L11"/>
  </mergeCell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B905B-FCAE-4DCB-B77D-EA73CF44BBE4}">
  <sheetPr codeName="Sheet2"/>
  <dimension ref="A1:O34"/>
  <sheetViews>
    <sheetView workbookViewId="0"/>
  </sheetViews>
  <sheetFormatPr defaultColWidth="9.109375" defaultRowHeight="14.4"/>
  <cols>
    <col min="1" max="1" width="19.6640625" style="35" customWidth="1"/>
    <col min="2" max="2" width="9.6640625" style="35" customWidth="1"/>
    <col min="3" max="5" width="13.6640625" style="35" customWidth="1"/>
    <col min="6" max="16384" width="9.109375" style="35"/>
  </cols>
  <sheetData>
    <row r="1" spans="1:10">
      <c r="A1" s="2" t="s">
        <v>14</v>
      </c>
      <c r="B1" s="1" t="s">
        <v>55</v>
      </c>
    </row>
    <row r="2" spans="1:10" ht="15" customHeight="1">
      <c r="A2" s="36" t="s">
        <v>6</v>
      </c>
      <c r="B2" s="58" t="s">
        <v>1</v>
      </c>
    </row>
    <row r="3" spans="1:10">
      <c r="A3" s="34" t="s">
        <v>48</v>
      </c>
      <c r="B3" s="35" t="s">
        <v>44</v>
      </c>
    </row>
    <row r="4" spans="1:10">
      <c r="A4" s="34" t="s">
        <v>49</v>
      </c>
      <c r="B4" s="35" t="s">
        <v>45</v>
      </c>
    </row>
    <row r="5" spans="1:10">
      <c r="A5" s="34" t="s">
        <v>50</v>
      </c>
      <c r="B5" s="35" t="s">
        <v>46</v>
      </c>
    </row>
    <row r="7" spans="1:10">
      <c r="A7" s="37" t="s">
        <v>14</v>
      </c>
      <c r="B7" s="38" t="s">
        <v>6</v>
      </c>
      <c r="C7" s="38" t="s">
        <v>48</v>
      </c>
      <c r="D7" s="38" t="s">
        <v>49</v>
      </c>
      <c r="E7" s="38" t="s">
        <v>50</v>
      </c>
    </row>
    <row r="8" spans="1:10">
      <c r="A8" s="40" t="s">
        <v>24</v>
      </c>
      <c r="B8" s="40">
        <v>2020</v>
      </c>
      <c r="C8" s="53">
        <v>125352.43438638499</v>
      </c>
      <c r="D8" s="53">
        <v>-2171.4738099952801</v>
      </c>
      <c r="E8" s="53">
        <v>253080.57716449801</v>
      </c>
    </row>
    <row r="9" spans="1:10">
      <c r="A9" s="40" t="s">
        <v>24</v>
      </c>
      <c r="B9" s="40">
        <v>2021</v>
      </c>
      <c r="C9" s="53">
        <v>333814.51134571998</v>
      </c>
      <c r="D9" s="53">
        <v>196206.05123790601</v>
      </c>
      <c r="E9" s="53">
        <v>466965.01670815499</v>
      </c>
      <c r="H9" s="55"/>
      <c r="J9" s="55"/>
    </row>
    <row r="10" spans="1:10">
      <c r="A10" s="41" t="s">
        <v>24</v>
      </c>
      <c r="B10" s="41" t="s">
        <v>47</v>
      </c>
      <c r="C10" s="54">
        <v>459166.945732105</v>
      </c>
      <c r="D10" s="54">
        <v>261298.96491562499</v>
      </c>
      <c r="E10" s="54">
        <v>661425.79834314995</v>
      </c>
    </row>
    <row r="11" spans="1:10">
      <c r="A11" s="35" t="s">
        <v>25</v>
      </c>
      <c r="B11" s="35">
        <v>2020</v>
      </c>
      <c r="C11" s="55">
        <v>1870951.9104577601</v>
      </c>
      <c r="D11" s="55">
        <v>1362646.81511411</v>
      </c>
      <c r="E11" s="55">
        <v>2460257.15588478</v>
      </c>
    </row>
    <row r="12" spans="1:10">
      <c r="A12" s="35" t="s">
        <v>25</v>
      </c>
      <c r="B12" s="35">
        <v>2021</v>
      </c>
      <c r="C12" s="55">
        <v>6075117.5896644704</v>
      </c>
      <c r="D12" s="55">
        <v>4755489.8538873699</v>
      </c>
      <c r="E12" s="55">
        <v>7745696.7488917103</v>
      </c>
    </row>
    <row r="13" spans="1:10">
      <c r="A13" s="42" t="s">
        <v>25</v>
      </c>
      <c r="B13" s="42" t="s">
        <v>47</v>
      </c>
      <c r="C13" s="56">
        <v>7946069.5001222398</v>
      </c>
      <c r="D13" s="56">
        <v>6477415.86703966</v>
      </c>
      <c r="E13" s="56">
        <v>9705849.8020327203</v>
      </c>
    </row>
    <row r="14" spans="1:10">
      <c r="A14" s="40" t="s">
        <v>26</v>
      </c>
      <c r="B14" s="40">
        <v>2020</v>
      </c>
      <c r="C14" s="53">
        <v>1358146.98308984</v>
      </c>
      <c r="D14" s="53">
        <v>1331732.23087573</v>
      </c>
      <c r="E14" s="53">
        <v>1385641.8766975501</v>
      </c>
    </row>
    <row r="15" spans="1:10">
      <c r="A15" s="40" t="s">
        <v>26</v>
      </c>
      <c r="B15" s="40">
        <v>2021</v>
      </c>
      <c r="C15" s="53">
        <v>2740584.3429703698</v>
      </c>
      <c r="D15" s="53">
        <v>2702562.2598059801</v>
      </c>
      <c r="E15" s="53">
        <v>2777405.7236084999</v>
      </c>
    </row>
    <row r="16" spans="1:10">
      <c r="A16" s="41" t="s">
        <v>26</v>
      </c>
      <c r="B16" s="41" t="s">
        <v>47</v>
      </c>
      <c r="C16" s="54">
        <v>4098731.3260602201</v>
      </c>
      <c r="D16" s="54">
        <v>4054591.2801953699</v>
      </c>
      <c r="E16" s="54">
        <v>4142031.8250162001</v>
      </c>
    </row>
    <row r="17" spans="1:15">
      <c r="A17" s="35" t="s">
        <v>27</v>
      </c>
      <c r="B17" s="35">
        <v>2020</v>
      </c>
      <c r="C17" s="55">
        <v>1083414.7985818</v>
      </c>
      <c r="D17" s="55">
        <v>1038705.3435457</v>
      </c>
      <c r="E17" s="55">
        <v>1124482.7220782801</v>
      </c>
    </row>
    <row r="18" spans="1:15">
      <c r="A18" s="35" t="s">
        <v>27</v>
      </c>
      <c r="B18" s="35">
        <v>2021</v>
      </c>
      <c r="C18" s="55">
        <v>1275504.50206869</v>
      </c>
      <c r="D18" s="55">
        <v>1224691.69200632</v>
      </c>
      <c r="E18" s="55">
        <v>1325204.7902029599</v>
      </c>
    </row>
    <row r="19" spans="1:15">
      <c r="A19" s="42" t="s">
        <v>27</v>
      </c>
      <c r="B19" s="42" t="s">
        <v>47</v>
      </c>
      <c r="C19" s="56">
        <v>2358919.30065049</v>
      </c>
      <c r="D19" s="56">
        <v>2292236.46517679</v>
      </c>
      <c r="E19" s="56">
        <v>2421739.5309941801</v>
      </c>
    </row>
    <row r="21" spans="1:15" ht="15" customHeight="1">
      <c r="A21" s="74" t="s">
        <v>51</v>
      </c>
      <c r="B21" s="74"/>
      <c r="C21" s="74"/>
      <c r="D21" s="74"/>
      <c r="E21" s="74"/>
      <c r="F21" s="74"/>
      <c r="G21" s="74"/>
      <c r="H21" s="74"/>
      <c r="I21" s="74"/>
      <c r="J21" s="74"/>
      <c r="K21" s="74"/>
      <c r="L21" s="74"/>
      <c r="M21" s="74"/>
      <c r="N21" s="74"/>
      <c r="O21" s="74"/>
    </row>
    <row r="22" spans="1:15">
      <c r="A22" s="74"/>
      <c r="B22" s="74"/>
      <c r="C22" s="74"/>
      <c r="D22" s="74"/>
      <c r="E22" s="74"/>
      <c r="F22" s="74"/>
      <c r="G22" s="74"/>
      <c r="H22" s="74"/>
      <c r="I22" s="74"/>
      <c r="J22" s="74"/>
      <c r="K22" s="74"/>
      <c r="L22" s="74"/>
      <c r="M22" s="74"/>
      <c r="N22" s="74"/>
      <c r="O22" s="74"/>
    </row>
    <row r="23" spans="1:15">
      <c r="A23" s="74"/>
      <c r="B23" s="74"/>
      <c r="C23" s="74"/>
      <c r="D23" s="74"/>
      <c r="E23" s="74"/>
      <c r="F23" s="74"/>
      <c r="G23" s="74"/>
      <c r="H23" s="74"/>
      <c r="I23" s="74"/>
      <c r="J23" s="74"/>
      <c r="K23" s="74"/>
      <c r="L23" s="74"/>
      <c r="M23" s="74"/>
      <c r="N23" s="74"/>
      <c r="O23" s="74"/>
    </row>
    <row r="29" spans="1:15" customFormat="1"/>
    <row r="30" spans="1:15" customFormat="1"/>
    <row r="31" spans="1:15" customFormat="1"/>
    <row r="32" spans="1:15" customFormat="1"/>
    <row r="33" spans="1:5" customFormat="1"/>
    <row r="34" spans="1:5" customFormat="1">
      <c r="A34" s="39"/>
      <c r="B34" s="39"/>
      <c r="C34" s="39"/>
      <c r="D34" s="39"/>
      <c r="E34" s="39"/>
    </row>
  </sheetData>
  <mergeCells count="1">
    <mergeCell ref="A21:O2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12"/>
  <sheetViews>
    <sheetView topLeftCell="A10" workbookViewId="0"/>
  </sheetViews>
  <sheetFormatPr defaultRowHeight="14.4"/>
  <cols>
    <col min="1" max="1" width="19.6640625" bestFit="1" customWidth="1"/>
    <col min="2" max="2" width="6" customWidth="1"/>
    <col min="3" max="3" width="6.6640625" customWidth="1"/>
    <col min="4" max="4" width="10.6640625" customWidth="1"/>
    <col min="5" max="7" width="14.6640625" customWidth="1"/>
    <col min="8" max="10" width="18.6640625" customWidth="1"/>
    <col min="11" max="12" width="10.6640625" customWidth="1"/>
  </cols>
  <sheetData>
    <row r="1" spans="1:15" s="1" customFormat="1">
      <c r="A1" s="2" t="s">
        <v>14</v>
      </c>
      <c r="B1" s="1" t="s">
        <v>55</v>
      </c>
      <c r="C1"/>
    </row>
    <row r="2" spans="1:15" s="1" customFormat="1">
      <c r="A2" s="2" t="s">
        <v>6</v>
      </c>
      <c r="B2" s="1" t="s">
        <v>1</v>
      </c>
    </row>
    <row r="3" spans="1:15" s="1" customFormat="1">
      <c r="A3" s="2" t="s">
        <v>7</v>
      </c>
      <c r="B3" s="1" t="s">
        <v>2</v>
      </c>
    </row>
    <row r="4" spans="1:15" s="1" customFormat="1">
      <c r="A4" s="2" t="s">
        <v>8</v>
      </c>
      <c r="B4" s="1" t="s">
        <v>9</v>
      </c>
    </row>
    <row r="5" spans="1:15" s="1" customFormat="1">
      <c r="A5" s="2" t="s">
        <v>10</v>
      </c>
      <c r="B5" s="1" t="s">
        <v>11</v>
      </c>
    </row>
    <row r="6" spans="1:15" s="1" customFormat="1">
      <c r="A6" s="2" t="s">
        <v>23</v>
      </c>
      <c r="B6" s="1" t="s">
        <v>12</v>
      </c>
    </row>
    <row r="7" spans="1:15" s="1" customFormat="1">
      <c r="A7" s="2" t="s">
        <v>48</v>
      </c>
      <c r="B7" s="1" t="s">
        <v>13</v>
      </c>
    </row>
    <row r="8" spans="1:15" s="1" customFormat="1">
      <c r="A8" s="2" t="s">
        <v>52</v>
      </c>
      <c r="B8" t="s">
        <v>3</v>
      </c>
    </row>
    <row r="9" spans="1:15" s="1" customFormat="1">
      <c r="A9" s="2" t="s">
        <v>53</v>
      </c>
      <c r="B9" t="s">
        <v>4</v>
      </c>
    </row>
    <row r="10" spans="1:15" s="1" customFormat="1">
      <c r="A10" s="2" t="s">
        <v>54</v>
      </c>
      <c r="B10" t="s">
        <v>5</v>
      </c>
    </row>
    <row r="12" spans="1:15" s="1" customFormat="1">
      <c r="A12" s="3" t="s">
        <v>14</v>
      </c>
      <c r="B12" s="8" t="s">
        <v>6</v>
      </c>
      <c r="C12" s="8" t="s">
        <v>7</v>
      </c>
      <c r="D12" s="8" t="s">
        <v>8</v>
      </c>
      <c r="E12" s="8" t="s">
        <v>10</v>
      </c>
      <c r="F12" s="8" t="s">
        <v>23</v>
      </c>
      <c r="G12" s="8" t="s">
        <v>48</v>
      </c>
      <c r="H12" s="8" t="s">
        <v>52</v>
      </c>
      <c r="I12" s="8" t="s">
        <v>53</v>
      </c>
      <c r="J12" s="8" t="s">
        <v>54</v>
      </c>
    </row>
    <row r="13" spans="1:15" s="1" customFormat="1">
      <c r="A13" s="9" t="s">
        <v>24</v>
      </c>
      <c r="B13" s="9">
        <v>2020</v>
      </c>
      <c r="C13" s="9">
        <v>1</v>
      </c>
      <c r="D13" s="9" t="s">
        <v>28</v>
      </c>
      <c r="E13" s="17">
        <v>396951.195045706</v>
      </c>
      <c r="F13" s="17">
        <v>407302.87300000002</v>
      </c>
      <c r="G13" s="17">
        <v>10351.677954294</v>
      </c>
      <c r="H13" s="17">
        <v>10351.677954294</v>
      </c>
      <c r="I13" s="17">
        <v>-24392.5174686338</v>
      </c>
      <c r="J13" s="17">
        <v>45886.920323180297</v>
      </c>
      <c r="L13" s="33"/>
      <c r="M13" s="33"/>
      <c r="N13" s="33"/>
      <c r="O13" s="33"/>
    </row>
    <row r="14" spans="1:15" s="1" customFormat="1">
      <c r="A14" s="10" t="s">
        <v>24</v>
      </c>
      <c r="B14" s="10">
        <v>2020</v>
      </c>
      <c r="C14" s="10">
        <v>2</v>
      </c>
      <c r="D14" s="10" t="s">
        <v>28</v>
      </c>
      <c r="E14" s="18">
        <v>393214.47795379598</v>
      </c>
      <c r="F14" s="18">
        <v>393938.82699999999</v>
      </c>
      <c r="G14" s="18">
        <v>724.34904620381496</v>
      </c>
      <c r="H14" s="18">
        <v>11076.027000497799</v>
      </c>
      <c r="I14" s="18">
        <v>-35964.9971356924</v>
      </c>
      <c r="J14" s="18">
        <v>62547.2612236735</v>
      </c>
    </row>
    <row r="15" spans="1:15" s="1" customFormat="1">
      <c r="A15" s="10" t="s">
        <v>24</v>
      </c>
      <c r="B15" s="10">
        <v>2020</v>
      </c>
      <c r="C15" s="10">
        <v>3</v>
      </c>
      <c r="D15" s="10" t="s">
        <v>28</v>
      </c>
      <c r="E15" s="18">
        <v>388387.74524201202</v>
      </c>
      <c r="F15" s="18">
        <v>381597.60100000002</v>
      </c>
      <c r="G15" s="18">
        <v>-6790.1442420124904</v>
      </c>
      <c r="H15" s="18">
        <v>4285.8827584853298</v>
      </c>
      <c r="I15" s="18">
        <v>-58935.076131553004</v>
      </c>
      <c r="J15" s="18">
        <v>68338.945341671206</v>
      </c>
      <c r="M15" s="33"/>
    </row>
    <row r="16" spans="1:15" s="1" customFormat="1">
      <c r="A16" s="10" t="s">
        <v>24</v>
      </c>
      <c r="B16" s="10">
        <v>2020</v>
      </c>
      <c r="C16" s="10">
        <v>4</v>
      </c>
      <c r="D16" s="10" t="s">
        <v>28</v>
      </c>
      <c r="E16" s="18">
        <v>386226.89791901899</v>
      </c>
      <c r="F16" s="18">
        <v>369425.77500000002</v>
      </c>
      <c r="G16" s="18">
        <v>-16801.122919018799</v>
      </c>
      <c r="H16" s="18">
        <v>-12515.2401605335</v>
      </c>
      <c r="I16" s="18">
        <v>-81537.849398466104</v>
      </c>
      <c r="J16" s="18">
        <v>59336.776388716899</v>
      </c>
    </row>
    <row r="17" spans="1:10" s="1" customFormat="1">
      <c r="A17" s="10" t="s">
        <v>24</v>
      </c>
      <c r="B17" s="10">
        <v>2020</v>
      </c>
      <c r="C17" s="10">
        <v>5</v>
      </c>
      <c r="D17" s="10" t="s">
        <v>28</v>
      </c>
      <c r="E17" s="18">
        <v>384129.22555450402</v>
      </c>
      <c r="F17" s="18">
        <v>383851.467</v>
      </c>
      <c r="G17" s="18">
        <v>-277.75855450414201</v>
      </c>
      <c r="H17" s="18">
        <v>-12792.9987150376</v>
      </c>
      <c r="I17" s="18">
        <v>-89662.813360693195</v>
      </c>
      <c r="J17" s="18">
        <v>63963.261504932503</v>
      </c>
    </row>
    <row r="18" spans="1:10" s="1" customFormat="1">
      <c r="A18" s="10" t="s">
        <v>24</v>
      </c>
      <c r="B18" s="10">
        <v>2020</v>
      </c>
      <c r="C18" s="10">
        <v>6</v>
      </c>
      <c r="D18" s="10" t="s">
        <v>28</v>
      </c>
      <c r="E18" s="18">
        <v>384589.98855004698</v>
      </c>
      <c r="F18" s="18">
        <v>402805.96299999999</v>
      </c>
      <c r="G18" s="18">
        <v>18215.974449952999</v>
      </c>
      <c r="H18" s="18">
        <v>5422.9757349153797</v>
      </c>
      <c r="I18" s="18">
        <v>-81373.171311020007</v>
      </c>
      <c r="J18" s="18">
        <v>92250.136883592699</v>
      </c>
    </row>
    <row r="19" spans="1:10" s="1" customFormat="1">
      <c r="A19" s="10" t="s">
        <v>24</v>
      </c>
      <c r="B19" s="10">
        <v>2020</v>
      </c>
      <c r="C19" s="10">
        <v>7</v>
      </c>
      <c r="D19" s="10" t="s">
        <v>28</v>
      </c>
      <c r="E19" s="18">
        <v>385747.37144878699</v>
      </c>
      <c r="F19" s="18">
        <v>413595.65600000002</v>
      </c>
      <c r="G19" s="18">
        <v>27848.284551213099</v>
      </c>
      <c r="H19" s="18">
        <v>33271.260286128498</v>
      </c>
      <c r="I19" s="18">
        <v>-61262.999381670503</v>
      </c>
      <c r="J19" s="18">
        <v>126082.99312255099</v>
      </c>
    </row>
    <row r="20" spans="1:10" s="1" customFormat="1">
      <c r="A20" s="10" t="s">
        <v>24</v>
      </c>
      <c r="B20" s="10">
        <v>2020</v>
      </c>
      <c r="C20" s="10">
        <v>8</v>
      </c>
      <c r="D20" s="10" t="s">
        <v>28</v>
      </c>
      <c r="E20" s="18">
        <v>385732.22232097702</v>
      </c>
      <c r="F20" s="18">
        <v>412322.78899999999</v>
      </c>
      <c r="G20" s="18">
        <v>26590.566679023101</v>
      </c>
      <c r="H20" s="18">
        <v>59861.826965151602</v>
      </c>
      <c r="I20" s="18">
        <v>-38792.207025986798</v>
      </c>
      <c r="J20" s="18">
        <v>154998.549683947</v>
      </c>
    </row>
    <row r="21" spans="1:10" s="1" customFormat="1">
      <c r="A21" s="10" t="s">
        <v>24</v>
      </c>
      <c r="B21" s="10">
        <v>2020</v>
      </c>
      <c r="C21" s="10">
        <v>9</v>
      </c>
      <c r="D21" s="10" t="s">
        <v>28</v>
      </c>
      <c r="E21" s="18">
        <v>385988.38115744398</v>
      </c>
      <c r="F21" s="18">
        <v>406479.859</v>
      </c>
      <c r="G21" s="18">
        <v>20491.477842556</v>
      </c>
      <c r="H21" s="18">
        <v>80353.304807707595</v>
      </c>
      <c r="I21" s="18">
        <v>-29752.734365943201</v>
      </c>
      <c r="J21" s="18">
        <v>187095.302490198</v>
      </c>
    </row>
    <row r="22" spans="1:10" s="1" customFormat="1">
      <c r="A22" s="10" t="s">
        <v>24</v>
      </c>
      <c r="B22" s="10">
        <v>2020</v>
      </c>
      <c r="C22" s="10">
        <v>10</v>
      </c>
      <c r="D22" s="10" t="s">
        <v>28</v>
      </c>
      <c r="E22" s="18">
        <v>387429.49594838597</v>
      </c>
      <c r="F22" s="18">
        <v>400005.16800000001</v>
      </c>
      <c r="G22" s="18">
        <v>12575.672051613499</v>
      </c>
      <c r="H22" s="18">
        <v>92928.976859321105</v>
      </c>
      <c r="I22" s="18">
        <v>-22337.592829673398</v>
      </c>
      <c r="J22" s="18">
        <v>205220.02162097601</v>
      </c>
    </row>
    <row r="23" spans="1:10" s="1" customFormat="1">
      <c r="A23" s="10" t="s">
        <v>24</v>
      </c>
      <c r="B23" s="10">
        <v>2020</v>
      </c>
      <c r="C23" s="10">
        <v>11</v>
      </c>
      <c r="D23" s="10" t="s">
        <v>28</v>
      </c>
      <c r="E23" s="18">
        <v>391912.36656137399</v>
      </c>
      <c r="F23" s="18">
        <v>406011.15100000001</v>
      </c>
      <c r="G23" s="18">
        <v>14098.7844386258</v>
      </c>
      <c r="H23" s="18">
        <v>107027.761297947</v>
      </c>
      <c r="I23" s="18">
        <v>-16068.9499690108</v>
      </c>
      <c r="J23" s="18">
        <v>223478.91377852199</v>
      </c>
    </row>
    <row r="24" spans="1:10" s="1" customFormat="1">
      <c r="A24" s="11" t="s">
        <v>24</v>
      </c>
      <c r="B24" s="11">
        <v>2020</v>
      </c>
      <c r="C24" s="11">
        <v>12</v>
      </c>
      <c r="D24" s="11" t="s">
        <v>28</v>
      </c>
      <c r="E24" s="19">
        <v>394806.71391156199</v>
      </c>
      <c r="F24" s="19">
        <v>413131.38699999999</v>
      </c>
      <c r="G24" s="19">
        <v>18324.673088438001</v>
      </c>
      <c r="H24" s="19">
        <v>125352.43438638499</v>
      </c>
      <c r="I24" s="19">
        <v>-2171.4738099952801</v>
      </c>
      <c r="J24" s="19">
        <v>253080.57716449801</v>
      </c>
    </row>
    <row r="25" spans="1:10" s="1" customFormat="1">
      <c r="A25" s="12" t="s">
        <v>24</v>
      </c>
      <c r="B25" s="12">
        <v>2021</v>
      </c>
      <c r="C25" s="12">
        <v>1</v>
      </c>
      <c r="D25" s="12" t="s">
        <v>28</v>
      </c>
      <c r="E25" s="20">
        <v>396683.999224625</v>
      </c>
      <c r="F25" s="20">
        <v>422530.04</v>
      </c>
      <c r="G25" s="20">
        <v>25846.040775375099</v>
      </c>
      <c r="H25" s="20">
        <v>151198.47516176</v>
      </c>
      <c r="I25" s="20">
        <v>14987.472333148</v>
      </c>
      <c r="J25" s="20">
        <v>280567.31526520499</v>
      </c>
    </row>
    <row r="26" spans="1:10" s="1" customFormat="1">
      <c r="A26" s="13" t="s">
        <v>24</v>
      </c>
      <c r="B26" s="13">
        <v>2021</v>
      </c>
      <c r="C26" s="13">
        <v>2</v>
      </c>
      <c r="D26" s="13" t="s">
        <v>28</v>
      </c>
      <c r="E26" s="21">
        <v>393018.42129448598</v>
      </c>
      <c r="F26" s="21">
        <v>421777.109</v>
      </c>
      <c r="G26" s="21">
        <v>28758.687705514101</v>
      </c>
      <c r="H26" s="21">
        <v>179957.16286727399</v>
      </c>
      <c r="I26" s="21">
        <v>31618.823891083201</v>
      </c>
      <c r="J26" s="21">
        <v>318651.64447920403</v>
      </c>
    </row>
    <row r="27" spans="1:10" s="1" customFormat="1">
      <c r="A27" s="13" t="s">
        <v>24</v>
      </c>
      <c r="B27" s="13">
        <v>2021</v>
      </c>
      <c r="C27" s="13">
        <v>3</v>
      </c>
      <c r="D27" s="13" t="s">
        <v>28</v>
      </c>
      <c r="E27" s="21">
        <v>388107.79918631201</v>
      </c>
      <c r="F27" s="21">
        <v>423365.60100000002</v>
      </c>
      <c r="G27" s="21">
        <v>35257.801813687503</v>
      </c>
      <c r="H27" s="21">
        <v>215214.964680962</v>
      </c>
      <c r="I27" s="21">
        <v>61147.954635987298</v>
      </c>
      <c r="J27" s="21">
        <v>362447.17581380502</v>
      </c>
    </row>
    <row r="28" spans="1:10" s="1" customFormat="1">
      <c r="A28" s="13" t="s">
        <v>24</v>
      </c>
      <c r="B28" s="13">
        <v>2021</v>
      </c>
      <c r="C28" s="13">
        <v>4</v>
      </c>
      <c r="D28" s="13" t="s">
        <v>28</v>
      </c>
      <c r="E28" s="21">
        <v>386046.41142411699</v>
      </c>
      <c r="F28" s="21">
        <v>418121.00900000002</v>
      </c>
      <c r="G28" s="21">
        <v>32074.597575882599</v>
      </c>
      <c r="H28" s="21">
        <v>247289.56225684399</v>
      </c>
      <c r="I28" s="21">
        <v>85599.109983644099</v>
      </c>
      <c r="J28" s="21">
        <v>399883.238607209</v>
      </c>
    </row>
    <row r="29" spans="1:10" s="1" customFormat="1">
      <c r="A29" s="13" t="s">
        <v>24</v>
      </c>
      <c r="B29" s="13">
        <v>2021</v>
      </c>
      <c r="C29" s="13">
        <v>5</v>
      </c>
      <c r="D29" s="13" t="s">
        <v>28</v>
      </c>
      <c r="E29" s="21">
        <v>383970.025608556</v>
      </c>
      <c r="F29" s="21">
        <v>408619.97899999999</v>
      </c>
      <c r="G29" s="21">
        <v>24649.953391444102</v>
      </c>
      <c r="H29" s="21">
        <v>271939.51564828801</v>
      </c>
      <c r="I29" s="21">
        <v>110505.529639499</v>
      </c>
      <c r="J29" s="21">
        <v>424535.39934515202</v>
      </c>
    </row>
    <row r="30" spans="1:10" s="1" customFormat="1">
      <c r="A30" s="13" t="s">
        <v>24</v>
      </c>
      <c r="B30" s="13">
        <v>2021</v>
      </c>
      <c r="C30" s="13">
        <v>6</v>
      </c>
      <c r="D30" s="13" t="s">
        <v>28</v>
      </c>
      <c r="E30" s="21">
        <v>384339.018102339</v>
      </c>
      <c r="F30" s="21">
        <v>417379.554</v>
      </c>
      <c r="G30" s="21">
        <v>33040.535897660797</v>
      </c>
      <c r="H30" s="21">
        <v>304980.05154594901</v>
      </c>
      <c r="I30" s="21">
        <v>137162.863831414</v>
      </c>
      <c r="J30" s="21">
        <v>476665.69374116597</v>
      </c>
    </row>
    <row r="31" spans="1:10" s="1" customFormat="1">
      <c r="A31" s="13" t="s">
        <v>24</v>
      </c>
      <c r="B31" s="13">
        <v>2021</v>
      </c>
      <c r="C31" s="13">
        <v>7</v>
      </c>
      <c r="D31" s="13" t="s">
        <v>28</v>
      </c>
      <c r="E31" s="21">
        <v>385610.50037116098</v>
      </c>
      <c r="F31" s="21">
        <v>426964.87</v>
      </c>
      <c r="G31" s="21">
        <v>41354.3696288387</v>
      </c>
      <c r="H31" s="21">
        <v>346334.42117478797</v>
      </c>
      <c r="I31" s="21">
        <v>178140.18094104601</v>
      </c>
      <c r="J31" s="21">
        <v>517333.36753643397</v>
      </c>
    </row>
    <row r="32" spans="1:10" s="1" customFormat="1">
      <c r="A32" s="13" t="s">
        <v>24</v>
      </c>
      <c r="B32" s="13">
        <v>2021</v>
      </c>
      <c r="C32" s="13">
        <v>8</v>
      </c>
      <c r="D32" s="13" t="s">
        <v>28</v>
      </c>
      <c r="E32" s="21">
        <v>385518.41554117802</v>
      </c>
      <c r="F32" s="21">
        <v>419144.01799999998</v>
      </c>
      <c r="G32" s="21">
        <v>33625.602458821602</v>
      </c>
      <c r="H32" s="21">
        <v>379960.023633609</v>
      </c>
      <c r="I32" s="21">
        <v>213428.827998844</v>
      </c>
      <c r="J32" s="21">
        <v>562233.44900167501</v>
      </c>
    </row>
    <row r="33" spans="1:10" s="1" customFormat="1">
      <c r="A33" s="13" t="s">
        <v>24</v>
      </c>
      <c r="B33" s="13">
        <v>2021</v>
      </c>
      <c r="C33" s="13">
        <v>9</v>
      </c>
      <c r="D33" s="13" t="s">
        <v>28</v>
      </c>
      <c r="E33" s="21">
        <v>385859.767262963</v>
      </c>
      <c r="F33" s="21">
        <v>409503.092</v>
      </c>
      <c r="G33" s="21">
        <v>23643.324737037201</v>
      </c>
      <c r="H33" s="21">
        <v>403603.348370647</v>
      </c>
      <c r="I33" s="21">
        <v>228107.956640716</v>
      </c>
      <c r="J33" s="21">
        <v>596849.95828362997</v>
      </c>
    </row>
    <row r="34" spans="1:10" s="1" customFormat="1">
      <c r="A34" s="13" t="s">
        <v>24</v>
      </c>
      <c r="B34" s="13">
        <v>2021</v>
      </c>
      <c r="C34" s="13">
        <v>10</v>
      </c>
      <c r="D34" s="13" t="s">
        <v>28</v>
      </c>
      <c r="E34" s="21">
        <v>387258.41795718798</v>
      </c>
      <c r="F34" s="21">
        <v>401381.08299999998</v>
      </c>
      <c r="G34" s="21">
        <v>14122.665042812399</v>
      </c>
      <c r="H34" s="21">
        <v>417726.013413459</v>
      </c>
      <c r="I34" s="21">
        <v>238951.825284591</v>
      </c>
      <c r="J34" s="21">
        <v>616711.59870890505</v>
      </c>
    </row>
    <row r="35" spans="1:10" s="1" customFormat="1">
      <c r="A35" s="13" t="s">
        <v>24</v>
      </c>
      <c r="B35" s="13">
        <v>2021</v>
      </c>
      <c r="C35" s="13">
        <v>11</v>
      </c>
      <c r="D35" s="13" t="s">
        <v>28</v>
      </c>
      <c r="E35" s="21">
        <v>391554.60731482401</v>
      </c>
      <c r="F35" s="21">
        <v>405411.57500000001</v>
      </c>
      <c r="G35" s="21">
        <v>13856.9676851761</v>
      </c>
      <c r="H35" s="21">
        <v>431582.98109863501</v>
      </c>
      <c r="I35" s="21">
        <v>247703.022688397</v>
      </c>
      <c r="J35" s="21">
        <v>629107.94684678002</v>
      </c>
    </row>
    <row r="36" spans="1:10" s="1" customFormat="1">
      <c r="A36" s="14" t="s">
        <v>24</v>
      </c>
      <c r="B36" s="14">
        <v>2021</v>
      </c>
      <c r="C36" s="14">
        <v>12</v>
      </c>
      <c r="D36" s="14" t="s">
        <v>28</v>
      </c>
      <c r="E36" s="22">
        <v>394561.43236653</v>
      </c>
      <c r="F36" s="22">
        <v>422145.397</v>
      </c>
      <c r="G36" s="22">
        <v>27583.964633469601</v>
      </c>
      <c r="H36" s="22">
        <v>459166.945732105</v>
      </c>
      <c r="I36" s="22">
        <v>261298.96491562499</v>
      </c>
      <c r="J36" s="22">
        <v>661425.79834314995</v>
      </c>
    </row>
    <row r="37" spans="1:10" s="1" customFormat="1">
      <c r="A37" s="9" t="s">
        <v>25</v>
      </c>
      <c r="B37" s="9">
        <v>2020</v>
      </c>
      <c r="C37" s="9">
        <v>1</v>
      </c>
      <c r="D37" s="9" t="s">
        <v>28</v>
      </c>
      <c r="E37" s="17">
        <v>1915903.94601649</v>
      </c>
      <c r="F37" s="17">
        <v>2065035.1340000001</v>
      </c>
      <c r="G37" s="17">
        <v>149662.205481451</v>
      </c>
      <c r="H37" s="17">
        <v>149662.205481451</v>
      </c>
      <c r="I37" s="17">
        <v>27719.568800733599</v>
      </c>
      <c r="J37" s="17">
        <v>300438.07910984301</v>
      </c>
    </row>
    <row r="38" spans="1:10" s="1" customFormat="1">
      <c r="A38" s="10" t="s">
        <v>25</v>
      </c>
      <c r="B38" s="10">
        <v>2020</v>
      </c>
      <c r="C38" s="10">
        <v>2</v>
      </c>
      <c r="D38" s="10" t="s">
        <v>28</v>
      </c>
      <c r="E38" s="18">
        <v>1869689.4287721601</v>
      </c>
      <c r="F38" s="18">
        <v>1833278.4040000001</v>
      </c>
      <c r="G38" s="18">
        <v>-37096.413892147801</v>
      </c>
      <c r="H38" s="18">
        <v>112565.791589303</v>
      </c>
      <c r="I38" s="18">
        <v>-47159.031410355099</v>
      </c>
      <c r="J38" s="18">
        <v>296102.14142517</v>
      </c>
    </row>
    <row r="39" spans="1:10" s="1" customFormat="1">
      <c r="A39" s="10" t="s">
        <v>25</v>
      </c>
      <c r="B39" s="10">
        <v>2020</v>
      </c>
      <c r="C39" s="10">
        <v>3</v>
      </c>
      <c r="D39" s="10" t="s">
        <v>28</v>
      </c>
      <c r="E39" s="18">
        <v>1841398.55998783</v>
      </c>
      <c r="F39" s="18">
        <v>1661700.112</v>
      </c>
      <c r="G39" s="18">
        <v>-180633.15654425599</v>
      </c>
      <c r="H39" s="18">
        <v>-68067.364954953693</v>
      </c>
      <c r="I39" s="18">
        <v>-266435.84662550298</v>
      </c>
      <c r="J39" s="18">
        <v>145353.77964105201</v>
      </c>
    </row>
    <row r="40" spans="1:10" s="1" customFormat="1">
      <c r="A40" s="10" t="s">
        <v>25</v>
      </c>
      <c r="B40" s="10">
        <v>2020</v>
      </c>
      <c r="C40" s="10">
        <v>4</v>
      </c>
      <c r="D40" s="10" t="s">
        <v>28</v>
      </c>
      <c r="E40" s="18">
        <v>1806964.5225903401</v>
      </c>
      <c r="F40" s="18">
        <v>1449903.379</v>
      </c>
      <c r="G40" s="18">
        <v>-357637.339051702</v>
      </c>
      <c r="H40" s="18">
        <v>-425704.70400665601</v>
      </c>
      <c r="I40" s="18">
        <v>-637854.53325097298</v>
      </c>
      <c r="J40" s="18">
        <v>-195272.61639685</v>
      </c>
    </row>
    <row r="41" spans="1:10" s="1" customFormat="1">
      <c r="A41" s="10" t="s">
        <v>25</v>
      </c>
      <c r="B41" s="10">
        <v>2020</v>
      </c>
      <c r="C41" s="10">
        <v>5</v>
      </c>
      <c r="D41" s="10" t="s">
        <v>28</v>
      </c>
      <c r="E41" s="18">
        <v>1791342.3159731</v>
      </c>
      <c r="F41" s="18">
        <v>1708870.628</v>
      </c>
      <c r="G41" s="18">
        <v>-82875.442322205403</v>
      </c>
      <c r="H41" s="18">
        <v>-508580.14632886101</v>
      </c>
      <c r="I41" s="18">
        <v>-752627.72431812296</v>
      </c>
      <c r="J41" s="18">
        <v>-242665.96815958101</v>
      </c>
    </row>
    <row r="42" spans="1:10" s="1" customFormat="1">
      <c r="A42" s="10" t="s">
        <v>25</v>
      </c>
      <c r="B42" s="10">
        <v>2020</v>
      </c>
      <c r="C42" s="10">
        <v>6</v>
      </c>
      <c r="D42" s="10" t="s">
        <v>28</v>
      </c>
      <c r="E42" s="18">
        <v>1790246.29947775</v>
      </c>
      <c r="F42" s="18">
        <v>2026419.27</v>
      </c>
      <c r="G42" s="18">
        <v>236351.80612411801</v>
      </c>
      <c r="H42" s="18">
        <v>-272228.34020474402</v>
      </c>
      <c r="I42" s="18">
        <v>-582182.45295776404</v>
      </c>
      <c r="J42" s="18">
        <v>45980.056190470801</v>
      </c>
    </row>
    <row r="43" spans="1:10" s="1" customFormat="1">
      <c r="A43" s="10" t="s">
        <v>25</v>
      </c>
      <c r="B43" s="10">
        <v>2020</v>
      </c>
      <c r="C43" s="10">
        <v>7</v>
      </c>
      <c r="D43" s="10" t="s">
        <v>28</v>
      </c>
      <c r="E43" s="18">
        <v>1805661.3982102</v>
      </c>
      <c r="F43" s="18">
        <v>2107913.5699999998</v>
      </c>
      <c r="G43" s="18">
        <v>301869.93785576901</v>
      </c>
      <c r="H43" s="18">
        <v>29641.597651024698</v>
      </c>
      <c r="I43" s="18">
        <v>-314276.13782712602</v>
      </c>
      <c r="J43" s="18">
        <v>393836.990619644</v>
      </c>
    </row>
    <row r="44" spans="1:10" s="1" customFormat="1">
      <c r="A44" s="10" t="s">
        <v>25</v>
      </c>
      <c r="B44" s="10">
        <v>2020</v>
      </c>
      <c r="C44" s="10">
        <v>8</v>
      </c>
      <c r="D44" s="10" t="s">
        <v>28</v>
      </c>
      <c r="E44" s="18">
        <v>1810685.66262566</v>
      </c>
      <c r="F44" s="18">
        <v>2177665.0279999999</v>
      </c>
      <c r="G44" s="18">
        <v>366648.09501073899</v>
      </c>
      <c r="H44" s="18">
        <v>396289.69266176299</v>
      </c>
      <c r="I44" s="18">
        <v>16142.0836906279</v>
      </c>
      <c r="J44" s="18">
        <v>793619.58719564904</v>
      </c>
    </row>
    <row r="45" spans="1:10" s="1" customFormat="1">
      <c r="A45" s="10" t="s">
        <v>25</v>
      </c>
      <c r="B45" s="10">
        <v>2020</v>
      </c>
      <c r="C45" s="10">
        <v>9</v>
      </c>
      <c r="D45" s="10" t="s">
        <v>28</v>
      </c>
      <c r="E45" s="18">
        <v>1801591.3874059501</v>
      </c>
      <c r="F45" s="18">
        <v>2229561.5720000002</v>
      </c>
      <c r="G45" s="18">
        <v>427495.95104337501</v>
      </c>
      <c r="H45" s="18">
        <v>823785.64370513801</v>
      </c>
      <c r="I45" s="18">
        <v>410427.038506513</v>
      </c>
      <c r="J45" s="18">
        <v>1269730.03056472</v>
      </c>
    </row>
    <row r="46" spans="1:10" s="1" customFormat="1">
      <c r="A46" s="10" t="s">
        <v>25</v>
      </c>
      <c r="B46" s="10">
        <v>2020</v>
      </c>
      <c r="C46" s="10">
        <v>10</v>
      </c>
      <c r="D46" s="10" t="s">
        <v>28</v>
      </c>
      <c r="E46" s="18">
        <v>1822634.76144574</v>
      </c>
      <c r="F46" s="18">
        <v>2161097.7629999998</v>
      </c>
      <c r="G46" s="18">
        <v>338036.03097706998</v>
      </c>
      <c r="H46" s="18">
        <v>1161821.67468221</v>
      </c>
      <c r="I46" s="18">
        <v>721720.38750951702</v>
      </c>
      <c r="J46" s="18">
        <v>1644762.54429049</v>
      </c>
    </row>
    <row r="47" spans="1:10" s="1" customFormat="1">
      <c r="A47" s="10" t="s">
        <v>25</v>
      </c>
      <c r="B47" s="10">
        <v>2020</v>
      </c>
      <c r="C47" s="10">
        <v>11</v>
      </c>
      <c r="D47" s="10" t="s">
        <v>28</v>
      </c>
      <c r="E47" s="18">
        <v>1860146.5078907299</v>
      </c>
      <c r="F47" s="18">
        <v>2193339.7039999999</v>
      </c>
      <c r="G47" s="18">
        <v>332633.714373369</v>
      </c>
      <c r="H47" s="18">
        <v>1494455.3890555799</v>
      </c>
      <c r="I47" s="18">
        <v>1013978.31825082</v>
      </c>
      <c r="J47" s="18">
        <v>1981285.3421946601</v>
      </c>
    </row>
    <row r="48" spans="1:10" s="1" customFormat="1">
      <c r="A48" s="11" t="s">
        <v>25</v>
      </c>
      <c r="B48" s="11">
        <v>2020</v>
      </c>
      <c r="C48" s="11">
        <v>12</v>
      </c>
      <c r="D48" s="11" t="s">
        <v>28</v>
      </c>
      <c r="E48" s="19">
        <v>1907541.54848686</v>
      </c>
      <c r="F48" s="19">
        <v>2284035.2760000001</v>
      </c>
      <c r="G48" s="19">
        <v>376496.521402193</v>
      </c>
      <c r="H48" s="19">
        <v>1870951.9104577701</v>
      </c>
      <c r="I48" s="19">
        <v>1362646.81511412</v>
      </c>
      <c r="J48" s="19">
        <v>2460257.15588478</v>
      </c>
    </row>
    <row r="49" spans="1:10" s="1" customFormat="1">
      <c r="A49" s="12" t="s">
        <v>25</v>
      </c>
      <c r="B49" s="12">
        <v>2021</v>
      </c>
      <c r="C49" s="12">
        <v>1</v>
      </c>
      <c r="D49" s="12" t="s">
        <v>28</v>
      </c>
      <c r="E49" s="20">
        <v>1930848.1083749</v>
      </c>
      <c r="F49" s="20">
        <v>2321703.977</v>
      </c>
      <c r="G49" s="20">
        <v>390783.93432407099</v>
      </c>
      <c r="H49" s="20">
        <v>2261735.8447818402</v>
      </c>
      <c r="I49" s="20">
        <v>1713072.2664588101</v>
      </c>
      <c r="J49" s="20">
        <v>2857385.05651988</v>
      </c>
    </row>
    <row r="50" spans="1:10" s="1" customFormat="1">
      <c r="A50" s="13" t="s">
        <v>25</v>
      </c>
      <c r="B50" s="13">
        <v>2021</v>
      </c>
      <c r="C50" s="13">
        <v>2</v>
      </c>
      <c r="D50" s="13" t="s">
        <v>28</v>
      </c>
      <c r="E50" s="21">
        <v>1884527.1185564499</v>
      </c>
      <c r="F50" s="21">
        <v>2155689.8259999999</v>
      </c>
      <c r="G50" s="21">
        <v>269954.768901909</v>
      </c>
      <c r="H50" s="21">
        <v>2531690.6136837499</v>
      </c>
      <c r="I50" s="21">
        <v>1943600.8806837699</v>
      </c>
      <c r="J50" s="21">
        <v>3186402.4263317399</v>
      </c>
    </row>
    <row r="51" spans="1:10" s="1" customFormat="1">
      <c r="A51" s="13" t="s">
        <v>25</v>
      </c>
      <c r="B51" s="13">
        <v>2021</v>
      </c>
      <c r="C51" s="13">
        <v>3</v>
      </c>
      <c r="D51" s="13" t="s">
        <v>28</v>
      </c>
      <c r="E51" s="21">
        <v>1855953.29307585</v>
      </c>
      <c r="F51" s="21">
        <v>2094126.263</v>
      </c>
      <c r="G51" s="21">
        <v>237873.35348421201</v>
      </c>
      <c r="H51" s="21">
        <v>2769563.96716796</v>
      </c>
      <c r="I51" s="21">
        <v>2125830.4962071101</v>
      </c>
      <c r="J51" s="21">
        <v>3469696.7138986099</v>
      </c>
    </row>
    <row r="52" spans="1:10" s="1" customFormat="1">
      <c r="A52" s="13" t="s">
        <v>25</v>
      </c>
      <c r="B52" s="13">
        <v>2021</v>
      </c>
      <c r="C52" s="13">
        <v>4</v>
      </c>
      <c r="D52" s="13" t="s">
        <v>28</v>
      </c>
      <c r="E52" s="21">
        <v>1820670.48897055</v>
      </c>
      <c r="F52" s="21">
        <v>2348110.9589999998</v>
      </c>
      <c r="G52" s="21">
        <v>527022.11133105995</v>
      </c>
      <c r="H52" s="21">
        <v>3296586.0784990201</v>
      </c>
      <c r="I52" s="21">
        <v>2593940.4777895799</v>
      </c>
      <c r="J52" s="21">
        <v>4035960.7967658099</v>
      </c>
    </row>
    <row r="53" spans="1:10" s="1" customFormat="1">
      <c r="A53" s="13" t="s">
        <v>25</v>
      </c>
      <c r="B53" s="13">
        <v>2021</v>
      </c>
      <c r="C53" s="13">
        <v>5</v>
      </c>
      <c r="D53" s="13" t="s">
        <v>28</v>
      </c>
      <c r="E53" s="21">
        <v>1805792.52622191</v>
      </c>
      <c r="F53" s="21">
        <v>3238831.3539999998</v>
      </c>
      <c r="G53" s="21">
        <v>1433451.8074477101</v>
      </c>
      <c r="H53" s="21">
        <v>4730037.8859467404</v>
      </c>
      <c r="I53" s="21">
        <v>3974513.9286885499</v>
      </c>
      <c r="J53" s="21">
        <v>5546965.1567109404</v>
      </c>
    </row>
    <row r="54" spans="1:10" s="1" customFormat="1">
      <c r="A54" s="13" t="s">
        <v>25</v>
      </c>
      <c r="B54" s="13">
        <v>2021</v>
      </c>
      <c r="C54" s="13">
        <v>6</v>
      </c>
      <c r="D54" s="13" t="s">
        <v>28</v>
      </c>
      <c r="E54" s="21">
        <v>1803883.7972834499</v>
      </c>
      <c r="F54" s="21">
        <v>3066498.7940000002</v>
      </c>
      <c r="G54" s="21">
        <v>1262251.7395432801</v>
      </c>
      <c r="H54" s="21">
        <v>5992289.62549002</v>
      </c>
      <c r="I54" s="21">
        <v>5147415.4299163697</v>
      </c>
      <c r="J54" s="21">
        <v>6844825.2435517795</v>
      </c>
    </row>
    <row r="55" spans="1:10" s="1" customFormat="1">
      <c r="A55" s="13" t="s">
        <v>25</v>
      </c>
      <c r="B55" s="13">
        <v>2021</v>
      </c>
      <c r="C55" s="13">
        <v>7</v>
      </c>
      <c r="D55" s="13" t="s">
        <v>28</v>
      </c>
      <c r="E55" s="21">
        <v>1820115.34285867</v>
      </c>
      <c r="F55" s="21">
        <v>2495800.5019999999</v>
      </c>
      <c r="G55" s="21">
        <v>675593.11520930799</v>
      </c>
      <c r="H55" s="21">
        <v>6667882.7406993303</v>
      </c>
      <c r="I55" s="21">
        <v>5801924.3034223896</v>
      </c>
      <c r="J55" s="21">
        <v>7527253.2242537197</v>
      </c>
    </row>
    <row r="56" spans="1:10" s="1" customFormat="1">
      <c r="A56" s="13" t="s">
        <v>25</v>
      </c>
      <c r="B56" s="13">
        <v>2021</v>
      </c>
      <c r="C56" s="13">
        <v>8</v>
      </c>
      <c r="D56" s="13" t="s">
        <v>28</v>
      </c>
      <c r="E56" s="21">
        <v>1825097.4066075401</v>
      </c>
      <c r="F56" s="21">
        <v>2208104.523</v>
      </c>
      <c r="G56" s="21">
        <v>382839.51479914301</v>
      </c>
      <c r="H56" s="21">
        <v>7050722.2554984698</v>
      </c>
      <c r="I56" s="21">
        <v>6142474.5843553301</v>
      </c>
      <c r="J56" s="21">
        <v>7947393.3227246804</v>
      </c>
    </row>
    <row r="57" spans="1:10" s="1" customFormat="1">
      <c r="A57" s="13" t="s">
        <v>25</v>
      </c>
      <c r="B57" s="13">
        <v>2021</v>
      </c>
      <c r="C57" s="13">
        <v>9</v>
      </c>
      <c r="D57" s="13" t="s">
        <v>28</v>
      </c>
      <c r="E57" s="21">
        <v>1815569.5179850899</v>
      </c>
      <c r="F57" s="21">
        <v>2031310.067</v>
      </c>
      <c r="G57" s="21">
        <v>215087.14854396199</v>
      </c>
      <c r="H57" s="21">
        <v>7265809.4040424302</v>
      </c>
      <c r="I57" s="21">
        <v>6331644.3747894997</v>
      </c>
      <c r="J57" s="21">
        <v>8220911.3568104003</v>
      </c>
    </row>
    <row r="58" spans="1:10" s="1" customFormat="1">
      <c r="A58" s="13" t="s">
        <v>25</v>
      </c>
      <c r="B58" s="13">
        <v>2021</v>
      </c>
      <c r="C58" s="13">
        <v>10</v>
      </c>
      <c r="D58" s="13" t="s">
        <v>28</v>
      </c>
      <c r="E58" s="21">
        <v>1837216.9541475</v>
      </c>
      <c r="F58" s="21">
        <v>2052713.0604717999</v>
      </c>
      <c r="G58" s="21">
        <v>216200.890920776</v>
      </c>
      <c r="H58" s="21">
        <v>7482010.2949632099</v>
      </c>
      <c r="I58" s="21">
        <v>6458154.3173458902</v>
      </c>
      <c r="J58" s="21">
        <v>8552387.68303857</v>
      </c>
    </row>
    <row r="59" spans="1:10" s="1" customFormat="1">
      <c r="A59" s="13" t="s">
        <v>25</v>
      </c>
      <c r="B59" s="13">
        <v>2021</v>
      </c>
      <c r="C59" s="13">
        <v>11</v>
      </c>
      <c r="D59" s="13" t="s">
        <v>28</v>
      </c>
      <c r="E59" s="21">
        <v>1875375.99704117</v>
      </c>
      <c r="F59" s="21">
        <v>2102769.9120825902</v>
      </c>
      <c r="G59" s="21">
        <v>227863.18316494901</v>
      </c>
      <c r="H59" s="21">
        <v>7709873.4781281604</v>
      </c>
      <c r="I59" s="21">
        <v>6511182.2270239098</v>
      </c>
      <c r="J59" s="21">
        <v>9020595.7158079501</v>
      </c>
    </row>
    <row r="60" spans="1:10" s="1" customFormat="1">
      <c r="A60" s="14" t="s">
        <v>25</v>
      </c>
      <c r="B60" s="14">
        <v>2021</v>
      </c>
      <c r="C60" s="14">
        <v>12</v>
      </c>
      <c r="D60" s="14" t="s">
        <v>28</v>
      </c>
      <c r="E60" s="22">
        <v>1922382.20936343</v>
      </c>
      <c r="F60" s="22">
        <v>2159424.8801199598</v>
      </c>
      <c r="G60" s="22">
        <v>236196.021994076</v>
      </c>
      <c r="H60" s="22">
        <v>7946069.5001222398</v>
      </c>
      <c r="I60" s="22">
        <v>6477415.86703966</v>
      </c>
      <c r="J60" s="22">
        <v>9705849.8020327203</v>
      </c>
    </row>
    <row r="61" spans="1:10" s="1" customFormat="1">
      <c r="A61" s="9" t="s">
        <v>26</v>
      </c>
      <c r="B61" s="9">
        <v>2020</v>
      </c>
      <c r="C61" s="9">
        <v>1</v>
      </c>
      <c r="D61" s="9" t="s">
        <v>28</v>
      </c>
      <c r="E61" s="17">
        <v>1588353.1443827001</v>
      </c>
      <c r="F61" s="17">
        <v>1677261.3729999999</v>
      </c>
      <c r="G61" s="17">
        <v>86128.303155144298</v>
      </c>
      <c r="H61" s="17">
        <v>86128.303155144298</v>
      </c>
      <c r="I61" s="17">
        <v>68258.9323742212</v>
      </c>
      <c r="J61" s="17">
        <v>105583.07868072399</v>
      </c>
    </row>
    <row r="62" spans="1:10" s="1" customFormat="1">
      <c r="A62" s="10" t="s">
        <v>26</v>
      </c>
      <c r="B62" s="10">
        <v>2020</v>
      </c>
      <c r="C62" s="10">
        <v>2</v>
      </c>
      <c r="D62" s="10" t="s">
        <v>28</v>
      </c>
      <c r="E62" s="18">
        <v>1537986.76713138</v>
      </c>
      <c r="F62" s="18">
        <v>1523176.838</v>
      </c>
      <c r="G62" s="18">
        <v>-17526.003066562302</v>
      </c>
      <c r="H62" s="18">
        <v>68602.300088581993</v>
      </c>
      <c r="I62" s="18">
        <v>47614.493817112998</v>
      </c>
      <c r="J62" s="18">
        <v>97561.740044830207</v>
      </c>
    </row>
    <row r="63" spans="1:10" s="1" customFormat="1">
      <c r="A63" s="10" t="s">
        <v>26</v>
      </c>
      <c r="B63" s="10">
        <v>2020</v>
      </c>
      <c r="C63" s="10">
        <v>3</v>
      </c>
      <c r="D63" s="10" t="s">
        <v>28</v>
      </c>
      <c r="E63" s="18">
        <v>1518328.1250609299</v>
      </c>
      <c r="F63" s="18">
        <v>1462225.544</v>
      </c>
      <c r="G63" s="18">
        <v>-58892.6854899139</v>
      </c>
      <c r="H63" s="18">
        <v>9709.6145986680494</v>
      </c>
      <c r="I63" s="18">
        <v>-16544.8832341739</v>
      </c>
      <c r="J63" s="18">
        <v>36792.562383392797</v>
      </c>
    </row>
    <row r="64" spans="1:10" s="1" customFormat="1">
      <c r="A64" s="10" t="s">
        <v>26</v>
      </c>
      <c r="B64" s="10">
        <v>2020</v>
      </c>
      <c r="C64" s="10">
        <v>4</v>
      </c>
      <c r="D64" s="10" t="s">
        <v>28</v>
      </c>
      <c r="E64" s="18">
        <v>1482262.34615189</v>
      </c>
      <c r="F64" s="18">
        <v>1431852.0330000001</v>
      </c>
      <c r="G64" s="18">
        <v>-53272.783380326298</v>
      </c>
      <c r="H64" s="18">
        <v>-43563.1687816583</v>
      </c>
      <c r="I64" s="18">
        <v>-72869.747732234799</v>
      </c>
      <c r="J64" s="18">
        <v>-11362.3849727738</v>
      </c>
    </row>
    <row r="65" spans="1:10" s="1" customFormat="1">
      <c r="A65" s="10" t="s">
        <v>26</v>
      </c>
      <c r="B65" s="10">
        <v>2020</v>
      </c>
      <c r="C65" s="10">
        <v>5</v>
      </c>
      <c r="D65" s="10" t="s">
        <v>28</v>
      </c>
      <c r="E65" s="18">
        <v>1464401.32785295</v>
      </c>
      <c r="F65" s="18">
        <v>1499457.7490000001</v>
      </c>
      <c r="G65" s="18">
        <v>32283.506877519299</v>
      </c>
      <c r="H65" s="18">
        <v>-11279.661904139</v>
      </c>
      <c r="I65" s="18">
        <v>-43366.982274737202</v>
      </c>
      <c r="J65" s="18">
        <v>24643.110974635001</v>
      </c>
    </row>
    <row r="66" spans="1:10" s="1" customFormat="1">
      <c r="A66" s="10" t="s">
        <v>26</v>
      </c>
      <c r="B66" s="10">
        <v>2020</v>
      </c>
      <c r="C66" s="10">
        <v>6</v>
      </c>
      <c r="D66" s="10" t="s">
        <v>28</v>
      </c>
      <c r="E66" s="18">
        <v>1446181.1261775901</v>
      </c>
      <c r="F66" s="18">
        <v>1523629.753</v>
      </c>
      <c r="G66" s="18">
        <v>74668.479181964096</v>
      </c>
      <c r="H66" s="18">
        <v>63388.817277825103</v>
      </c>
      <c r="I66" s="18">
        <v>30386.449397499899</v>
      </c>
      <c r="J66" s="18">
        <v>103584.979323615</v>
      </c>
    </row>
    <row r="67" spans="1:10" s="1" customFormat="1">
      <c r="A67" s="10" t="s">
        <v>26</v>
      </c>
      <c r="B67" s="10">
        <v>2020</v>
      </c>
      <c r="C67" s="10">
        <v>7</v>
      </c>
      <c r="D67" s="10" t="s">
        <v>28</v>
      </c>
      <c r="E67" s="18">
        <v>1446014.8172833801</v>
      </c>
      <c r="F67" s="18">
        <v>1641820.6429999999</v>
      </c>
      <c r="G67" s="18">
        <v>193102.59926307001</v>
      </c>
      <c r="H67" s="18">
        <v>256491.41654089501</v>
      </c>
      <c r="I67" s="18">
        <v>218648.48868844399</v>
      </c>
      <c r="J67" s="18">
        <v>303810.77320186998</v>
      </c>
    </row>
    <row r="68" spans="1:10" s="1" customFormat="1">
      <c r="A68" s="10" t="s">
        <v>26</v>
      </c>
      <c r="B68" s="10">
        <v>2020</v>
      </c>
      <c r="C68" s="10">
        <v>8</v>
      </c>
      <c r="D68" s="10" t="s">
        <v>28</v>
      </c>
      <c r="E68" s="18">
        <v>1434367.5810950301</v>
      </c>
      <c r="F68" s="18">
        <v>1589409.8770000001</v>
      </c>
      <c r="G68" s="18">
        <v>152255.19079326099</v>
      </c>
      <c r="H68" s="18">
        <v>408746.60733415501</v>
      </c>
      <c r="I68" s="18">
        <v>368309.77396634</v>
      </c>
      <c r="J68" s="18">
        <v>465511.71740154002</v>
      </c>
    </row>
    <row r="69" spans="1:10" s="1" customFormat="1">
      <c r="A69" s="10" t="s">
        <v>26</v>
      </c>
      <c r="B69" s="10">
        <v>2020</v>
      </c>
      <c r="C69" s="10">
        <v>9</v>
      </c>
      <c r="D69" s="10" t="s">
        <v>28</v>
      </c>
      <c r="E69" s="18">
        <v>1438917.6774217701</v>
      </c>
      <c r="F69" s="18">
        <v>1559542.088</v>
      </c>
      <c r="G69" s="18">
        <v>117893.59078308599</v>
      </c>
      <c r="H69" s="18">
        <v>526640.19811724103</v>
      </c>
      <c r="I69" s="18">
        <v>487957.86062031798</v>
      </c>
      <c r="J69" s="18">
        <v>569877.762130955</v>
      </c>
    </row>
    <row r="70" spans="1:10" s="1" customFormat="1">
      <c r="A70" s="10" t="s">
        <v>26</v>
      </c>
      <c r="B70" s="10">
        <v>2020</v>
      </c>
      <c r="C70" s="10">
        <v>10</v>
      </c>
      <c r="D70" s="10" t="s">
        <v>28</v>
      </c>
      <c r="E70" s="18">
        <v>1483211.0635721099</v>
      </c>
      <c r="F70" s="18">
        <v>1694992.237</v>
      </c>
      <c r="G70" s="18">
        <v>209043.423779287</v>
      </c>
      <c r="H70" s="18">
        <v>735683.62189652701</v>
      </c>
      <c r="I70" s="18">
        <v>698556.19070807798</v>
      </c>
      <c r="J70" s="18">
        <v>772392.70956681401</v>
      </c>
    </row>
    <row r="71" spans="1:10" s="1" customFormat="1">
      <c r="A71" s="10" t="s">
        <v>26</v>
      </c>
      <c r="B71" s="10">
        <v>2020</v>
      </c>
      <c r="C71" s="10">
        <v>11</v>
      </c>
      <c r="D71" s="10" t="s">
        <v>28</v>
      </c>
      <c r="E71" s="18">
        <v>1522308.79717721</v>
      </c>
      <c r="F71" s="18">
        <v>1808086.919</v>
      </c>
      <c r="G71" s="18">
        <v>283089.82526548998</v>
      </c>
      <c r="H71" s="18">
        <v>1018773.44716202</v>
      </c>
      <c r="I71" s="18">
        <v>981916.53664958803</v>
      </c>
      <c r="J71" s="18">
        <v>1051023.5065858001</v>
      </c>
    </row>
    <row r="72" spans="1:10" s="1" customFormat="1">
      <c r="A72" s="11" t="s">
        <v>26</v>
      </c>
      <c r="B72" s="11">
        <v>2020</v>
      </c>
      <c r="C72" s="11">
        <v>12</v>
      </c>
      <c r="D72" s="11" t="s">
        <v>28</v>
      </c>
      <c r="E72" s="19">
        <v>1593834.9669031301</v>
      </c>
      <c r="F72" s="19">
        <v>1935905.1240000001</v>
      </c>
      <c r="G72" s="19">
        <v>339373.53592782503</v>
      </c>
      <c r="H72" s="19">
        <v>1358146.98308984</v>
      </c>
      <c r="I72" s="19">
        <v>1331732.23087573</v>
      </c>
      <c r="J72" s="19">
        <v>1385641.8766975501</v>
      </c>
    </row>
    <row r="73" spans="1:10" s="1" customFormat="1">
      <c r="A73" s="12" t="s">
        <v>26</v>
      </c>
      <c r="B73" s="12">
        <v>2021</v>
      </c>
      <c r="C73" s="12">
        <v>1</v>
      </c>
      <c r="D73" s="12" t="s">
        <v>28</v>
      </c>
      <c r="E73" s="20">
        <v>1598316.4893841699</v>
      </c>
      <c r="F73" s="20">
        <v>1925204.48066667</v>
      </c>
      <c r="G73" s="20">
        <v>325220.30777626002</v>
      </c>
      <c r="H73" s="20">
        <v>1683367.2908661</v>
      </c>
      <c r="I73" s="20">
        <v>1653086.09135328</v>
      </c>
      <c r="J73" s="20">
        <v>1717561.8082306599</v>
      </c>
    </row>
    <row r="74" spans="1:10" s="1" customFormat="1">
      <c r="A74" s="13" t="s">
        <v>26</v>
      </c>
      <c r="B74" s="13">
        <v>2021</v>
      </c>
      <c r="C74" s="13">
        <v>2</v>
      </c>
      <c r="D74" s="13" t="s">
        <v>28</v>
      </c>
      <c r="E74" s="21">
        <v>1547317.5033146599</v>
      </c>
      <c r="F74" s="21">
        <v>1615534.49766667</v>
      </c>
      <c r="G74" s="21">
        <v>66639.343162664998</v>
      </c>
      <c r="H74" s="21">
        <v>1750006.63402877</v>
      </c>
      <c r="I74" s="21">
        <v>1712954.5716470201</v>
      </c>
      <c r="J74" s="21">
        <v>1790209.52689251</v>
      </c>
    </row>
    <row r="75" spans="1:10" s="1" customFormat="1">
      <c r="A75" s="13" t="s">
        <v>26</v>
      </c>
      <c r="B75" s="13">
        <v>2021</v>
      </c>
      <c r="C75" s="13">
        <v>3</v>
      </c>
      <c r="D75" s="13" t="s">
        <v>28</v>
      </c>
      <c r="E75" s="21">
        <v>1527718.23509831</v>
      </c>
      <c r="F75" s="21">
        <v>1689249.4756666699</v>
      </c>
      <c r="G75" s="21">
        <v>159842.19700751599</v>
      </c>
      <c r="H75" s="21">
        <v>1909848.8310362799</v>
      </c>
      <c r="I75" s="21">
        <v>1866092.5618962001</v>
      </c>
      <c r="J75" s="21">
        <v>1951969.7278275299</v>
      </c>
    </row>
    <row r="76" spans="1:10" s="1" customFormat="1">
      <c r="A76" s="13" t="s">
        <v>26</v>
      </c>
      <c r="B76" s="13">
        <v>2021</v>
      </c>
      <c r="C76" s="13">
        <v>4</v>
      </c>
      <c r="D76" s="13" t="s">
        <v>28</v>
      </c>
      <c r="E76" s="21">
        <v>1491008.9461944699</v>
      </c>
      <c r="F76" s="21">
        <v>1685772.1016666701</v>
      </c>
      <c r="G76" s="21">
        <v>192826.28052682901</v>
      </c>
      <c r="H76" s="21">
        <v>2102675.1115631098</v>
      </c>
      <c r="I76" s="21">
        <v>2059999.21898567</v>
      </c>
      <c r="J76" s="21">
        <v>2145879.2254012702</v>
      </c>
    </row>
    <row r="77" spans="1:10" s="1" customFormat="1">
      <c r="A77" s="13" t="s">
        <v>26</v>
      </c>
      <c r="B77" s="13">
        <v>2021</v>
      </c>
      <c r="C77" s="13">
        <v>5</v>
      </c>
      <c r="D77" s="13" t="s">
        <v>28</v>
      </c>
      <c r="E77" s="21">
        <v>1473270.6729844401</v>
      </c>
      <c r="F77" s="21">
        <v>1682497.6756666701</v>
      </c>
      <c r="G77" s="21">
        <v>207417.83997453999</v>
      </c>
      <c r="H77" s="21">
        <v>2310092.9515376501</v>
      </c>
      <c r="I77" s="21">
        <v>2267541.58696514</v>
      </c>
      <c r="J77" s="21">
        <v>2355768.4191414099</v>
      </c>
    </row>
    <row r="78" spans="1:10" s="1" customFormat="1">
      <c r="A78" s="13" t="s">
        <v>26</v>
      </c>
      <c r="B78" s="13">
        <v>2021</v>
      </c>
      <c r="C78" s="13">
        <v>6</v>
      </c>
      <c r="D78" s="13" t="s">
        <v>28</v>
      </c>
      <c r="E78" s="21">
        <v>1455176.35568736</v>
      </c>
      <c r="F78" s="21">
        <v>1664485.3906666699</v>
      </c>
      <c r="G78" s="21">
        <v>207471.157856131</v>
      </c>
      <c r="H78" s="21">
        <v>2517564.1093937801</v>
      </c>
      <c r="I78" s="21">
        <v>2472404.8668367099</v>
      </c>
      <c r="J78" s="21">
        <v>2564595.02370597</v>
      </c>
    </row>
    <row r="79" spans="1:10" s="1" customFormat="1">
      <c r="A79" s="13" t="s">
        <v>26</v>
      </c>
      <c r="B79" s="13">
        <v>2021</v>
      </c>
      <c r="C79" s="13">
        <v>7</v>
      </c>
      <c r="D79" s="13" t="s">
        <v>28</v>
      </c>
      <c r="E79" s="21">
        <v>1454687.49967533</v>
      </c>
      <c r="F79" s="21">
        <v>1744025.97066667</v>
      </c>
      <c r="G79" s="21">
        <v>287648.21905521001</v>
      </c>
      <c r="H79" s="21">
        <v>2805212.3284489899</v>
      </c>
      <c r="I79" s="21">
        <v>2759140.8617963898</v>
      </c>
      <c r="J79" s="21">
        <v>2854127.9139657901</v>
      </c>
    </row>
    <row r="80" spans="1:10" s="1" customFormat="1">
      <c r="A80" s="13" t="s">
        <v>26</v>
      </c>
      <c r="B80" s="13">
        <v>2021</v>
      </c>
      <c r="C80" s="13">
        <v>8</v>
      </c>
      <c r="D80" s="13" t="s">
        <v>28</v>
      </c>
      <c r="E80" s="21">
        <v>1443096.5216942001</v>
      </c>
      <c r="F80" s="21">
        <v>1780670.36266667</v>
      </c>
      <c r="G80" s="21">
        <v>335814.08910548699</v>
      </c>
      <c r="H80" s="21">
        <v>3141026.41755448</v>
      </c>
      <c r="I80" s="21">
        <v>3091291.9105141098</v>
      </c>
      <c r="J80" s="21">
        <v>3191953.4027271201</v>
      </c>
    </row>
    <row r="81" spans="1:10" s="1" customFormat="1">
      <c r="A81" s="13" t="s">
        <v>26</v>
      </c>
      <c r="B81" s="13">
        <v>2021</v>
      </c>
      <c r="C81" s="13">
        <v>9</v>
      </c>
      <c r="D81" s="13" t="s">
        <v>28</v>
      </c>
      <c r="E81" s="21">
        <v>1447420.4121807199</v>
      </c>
      <c r="F81" s="21">
        <v>1702160.53866667</v>
      </c>
      <c r="G81" s="21">
        <v>252947.75400722399</v>
      </c>
      <c r="H81" s="21">
        <v>3393974.1715617101</v>
      </c>
      <c r="I81" s="21">
        <v>3345462.9201416802</v>
      </c>
      <c r="J81" s="21">
        <v>3443827.0859644599</v>
      </c>
    </row>
    <row r="82" spans="1:10" s="1" customFormat="1">
      <c r="A82" s="13" t="s">
        <v>26</v>
      </c>
      <c r="B82" s="13">
        <v>2021</v>
      </c>
      <c r="C82" s="13">
        <v>10</v>
      </c>
      <c r="D82" s="13" t="s">
        <v>28</v>
      </c>
      <c r="E82" s="21">
        <v>1492384.9364480099</v>
      </c>
      <c r="F82" s="21">
        <v>1767625.97366667</v>
      </c>
      <c r="G82" s="21">
        <v>273644.332645997</v>
      </c>
      <c r="H82" s="21">
        <v>3667618.5042077</v>
      </c>
      <c r="I82" s="21">
        <v>3619652.92255016</v>
      </c>
      <c r="J82" s="21">
        <v>3714290.2852227902</v>
      </c>
    </row>
    <row r="83" spans="1:10" s="1" customFormat="1">
      <c r="A83" s="13" t="s">
        <v>26</v>
      </c>
      <c r="B83" s="13">
        <v>2021</v>
      </c>
      <c r="C83" s="13">
        <v>11</v>
      </c>
      <c r="D83" s="13" t="s">
        <v>28</v>
      </c>
      <c r="E83" s="21">
        <v>1531741.7511485801</v>
      </c>
      <c r="F83" s="21">
        <v>1774400.1856666701</v>
      </c>
      <c r="G83" s="21">
        <v>241034.840577428</v>
      </c>
      <c r="H83" s="21">
        <v>3908653.3447851301</v>
      </c>
      <c r="I83" s="21">
        <v>3861416.9754848802</v>
      </c>
      <c r="J83" s="21">
        <v>3953341.0152806998</v>
      </c>
    </row>
    <row r="84" spans="1:10" s="1" customFormat="1">
      <c r="A84" s="14" t="s">
        <v>26</v>
      </c>
      <c r="B84" s="14">
        <v>2021</v>
      </c>
      <c r="C84" s="14">
        <v>12</v>
      </c>
      <c r="D84" s="14" t="s">
        <v>28</v>
      </c>
      <c r="E84" s="22">
        <v>1603934.7641364001</v>
      </c>
      <c r="F84" s="22">
        <v>1795652.19366667</v>
      </c>
      <c r="G84" s="22">
        <v>190077.98127508699</v>
      </c>
      <c r="H84" s="22">
        <v>4098731.3260602201</v>
      </c>
      <c r="I84" s="22">
        <v>4054591.2801953699</v>
      </c>
      <c r="J84" s="22">
        <v>4142031.8250162001</v>
      </c>
    </row>
    <row r="85" spans="1:10" s="1" customFormat="1">
      <c r="A85" s="9" t="s">
        <v>27</v>
      </c>
      <c r="B85" s="9">
        <v>2020</v>
      </c>
      <c r="C85" s="9">
        <v>1</v>
      </c>
      <c r="D85" s="9" t="s">
        <v>28</v>
      </c>
      <c r="E85" s="17">
        <v>997936.812940954</v>
      </c>
      <c r="F85" s="17">
        <v>1022273.297</v>
      </c>
      <c r="G85" s="17">
        <v>23729.242048849199</v>
      </c>
      <c r="H85" s="17">
        <v>23729.242048849199</v>
      </c>
      <c r="I85" s="17">
        <v>12628.948244428801</v>
      </c>
      <c r="J85" s="17">
        <v>34710.663423607701</v>
      </c>
    </row>
    <row r="86" spans="1:10" s="1" customFormat="1">
      <c r="A86" s="10" t="s">
        <v>27</v>
      </c>
      <c r="B86" s="10">
        <v>2020</v>
      </c>
      <c r="C86" s="10">
        <v>2</v>
      </c>
      <c r="D86" s="10" t="s">
        <v>28</v>
      </c>
      <c r="E86" s="18">
        <v>980894.70791945898</v>
      </c>
      <c r="F86" s="18">
        <v>927797.31400000001</v>
      </c>
      <c r="G86" s="18">
        <v>-53704.635929655196</v>
      </c>
      <c r="H86" s="18">
        <v>-29975.393880805899</v>
      </c>
      <c r="I86" s="18">
        <v>-46086.948525694599</v>
      </c>
      <c r="J86" s="18">
        <v>-12166.181224571499</v>
      </c>
    </row>
    <row r="87" spans="1:10" s="1" customFormat="1">
      <c r="A87" s="10" t="s">
        <v>27</v>
      </c>
      <c r="B87" s="10">
        <v>2020</v>
      </c>
      <c r="C87" s="10">
        <v>3</v>
      </c>
      <c r="D87" s="10" t="s">
        <v>28</v>
      </c>
      <c r="E87" s="18">
        <v>968470.55780066398</v>
      </c>
      <c r="F87" s="18">
        <v>1052822.8689999999</v>
      </c>
      <c r="G87" s="18">
        <v>83745.0691891397</v>
      </c>
      <c r="H87" s="18">
        <v>53769.675308333797</v>
      </c>
      <c r="I87" s="18">
        <v>33739.860077258301</v>
      </c>
      <c r="J87" s="18">
        <v>74771.701845785501</v>
      </c>
    </row>
    <row r="88" spans="1:10" s="1" customFormat="1">
      <c r="A88" s="10" t="s">
        <v>27</v>
      </c>
      <c r="B88" s="10">
        <v>2020</v>
      </c>
      <c r="C88" s="10">
        <v>4</v>
      </c>
      <c r="D88" s="10" t="s">
        <v>28</v>
      </c>
      <c r="E88" s="18">
        <v>915269.20584066596</v>
      </c>
      <c r="F88" s="18">
        <v>1122402.5349999999</v>
      </c>
      <c r="G88" s="18">
        <v>206526.08714913699</v>
      </c>
      <c r="H88" s="18">
        <v>260295.76245747099</v>
      </c>
      <c r="I88" s="18">
        <v>235974.637001722</v>
      </c>
      <c r="J88" s="18">
        <v>284491.30554843898</v>
      </c>
    </row>
    <row r="89" spans="1:10" s="1" customFormat="1">
      <c r="A89" s="10" t="s">
        <v>27</v>
      </c>
      <c r="B89" s="10">
        <v>2020</v>
      </c>
      <c r="C89" s="10">
        <v>5</v>
      </c>
      <c r="D89" s="10" t="s">
        <v>28</v>
      </c>
      <c r="E89" s="18">
        <v>881932.80772607902</v>
      </c>
      <c r="F89" s="18">
        <v>958645.12300000002</v>
      </c>
      <c r="G89" s="18">
        <v>76105.073263724698</v>
      </c>
      <c r="H89" s="18">
        <v>336400.83572119602</v>
      </c>
      <c r="I89" s="18">
        <v>309552.95926047798</v>
      </c>
      <c r="J89" s="18">
        <v>362744.643437177</v>
      </c>
    </row>
    <row r="90" spans="1:10" s="1" customFormat="1">
      <c r="A90" s="10" t="s">
        <v>27</v>
      </c>
      <c r="B90" s="10">
        <v>2020</v>
      </c>
      <c r="C90" s="10">
        <v>6</v>
      </c>
      <c r="D90" s="10" t="s">
        <v>28</v>
      </c>
      <c r="E90" s="18">
        <v>856800.68270548899</v>
      </c>
      <c r="F90" s="18">
        <v>881939.35100000002</v>
      </c>
      <c r="G90" s="18">
        <v>24531.426284314501</v>
      </c>
      <c r="H90" s="18">
        <v>360932.26200550998</v>
      </c>
      <c r="I90" s="18">
        <v>331583.05332964403</v>
      </c>
      <c r="J90" s="18">
        <v>390554.319442334</v>
      </c>
    </row>
    <row r="91" spans="1:10" s="1" customFormat="1">
      <c r="A91" s="10" t="s">
        <v>27</v>
      </c>
      <c r="B91" s="10">
        <v>2020</v>
      </c>
      <c r="C91" s="10">
        <v>7</v>
      </c>
      <c r="D91" s="10" t="s">
        <v>28</v>
      </c>
      <c r="E91" s="18">
        <v>867460.06751329498</v>
      </c>
      <c r="F91" s="18">
        <v>928105.29599999997</v>
      </c>
      <c r="G91" s="18">
        <v>60037.986476507896</v>
      </c>
      <c r="H91" s="18">
        <v>420970.24848201801</v>
      </c>
      <c r="I91" s="18">
        <v>388146.058061113</v>
      </c>
      <c r="J91" s="18">
        <v>453026.42020615999</v>
      </c>
    </row>
    <row r="92" spans="1:10" s="1" customFormat="1">
      <c r="A92" s="10" t="s">
        <v>27</v>
      </c>
      <c r="B92" s="10">
        <v>2020</v>
      </c>
      <c r="C92" s="10">
        <v>8</v>
      </c>
      <c r="D92" s="10" t="s">
        <v>28</v>
      </c>
      <c r="E92" s="18">
        <v>865265.55476902402</v>
      </c>
      <c r="F92" s="18">
        <v>949765.53399999999</v>
      </c>
      <c r="G92" s="18">
        <v>83892.737220779294</v>
      </c>
      <c r="H92" s="18">
        <v>504862.985702798</v>
      </c>
      <c r="I92" s="18">
        <v>469928.77954700199</v>
      </c>
      <c r="J92" s="18">
        <v>540400.37506917503</v>
      </c>
    </row>
    <row r="93" spans="1:10" s="1" customFormat="1">
      <c r="A93" s="10" t="s">
        <v>27</v>
      </c>
      <c r="B93" s="10">
        <v>2020</v>
      </c>
      <c r="C93" s="10">
        <v>9</v>
      </c>
      <c r="D93" s="10" t="s">
        <v>28</v>
      </c>
      <c r="E93" s="18">
        <v>858371.22757676803</v>
      </c>
      <c r="F93" s="18">
        <v>904653.12600000005</v>
      </c>
      <c r="G93" s="18">
        <v>45674.656413035002</v>
      </c>
      <c r="H93" s="18">
        <v>550537.642115833</v>
      </c>
      <c r="I93" s="18">
        <v>513521.496956116</v>
      </c>
      <c r="J93" s="18">
        <v>587917.49806060002</v>
      </c>
    </row>
    <row r="94" spans="1:10" s="1" customFormat="1">
      <c r="A94" s="10" t="s">
        <v>27</v>
      </c>
      <c r="B94" s="10">
        <v>2020</v>
      </c>
      <c r="C94" s="10">
        <v>10</v>
      </c>
      <c r="D94" s="10" t="s">
        <v>28</v>
      </c>
      <c r="E94" s="18">
        <v>894236.11219368596</v>
      </c>
      <c r="F94" s="18">
        <v>1012681.7560000001</v>
      </c>
      <c r="G94" s="18">
        <v>117838.401796117</v>
      </c>
      <c r="H94" s="18">
        <v>668376.04391194996</v>
      </c>
      <c r="I94" s="18">
        <v>627881.90465865901</v>
      </c>
      <c r="J94" s="18">
        <v>708268.74887217605</v>
      </c>
    </row>
    <row r="95" spans="1:10" s="1" customFormat="1">
      <c r="A95" s="10" t="s">
        <v>27</v>
      </c>
      <c r="B95" s="10">
        <v>2020</v>
      </c>
      <c r="C95" s="10">
        <v>11</v>
      </c>
      <c r="D95" s="10" t="s">
        <v>28</v>
      </c>
      <c r="E95" s="18">
        <v>933098.76407168095</v>
      </c>
      <c r="F95" s="18">
        <v>1127965.8</v>
      </c>
      <c r="G95" s="18">
        <v>194259.79391812201</v>
      </c>
      <c r="H95" s="18">
        <v>862635.83783007204</v>
      </c>
      <c r="I95" s="18">
        <v>819923.18929028697</v>
      </c>
      <c r="J95" s="18">
        <v>902154.87670167198</v>
      </c>
    </row>
    <row r="96" spans="1:10" s="1" customFormat="1">
      <c r="A96" s="11" t="s">
        <v>27</v>
      </c>
      <c r="B96" s="11">
        <v>2020</v>
      </c>
      <c r="C96" s="11">
        <v>12</v>
      </c>
      <c r="D96" s="11" t="s">
        <v>28</v>
      </c>
      <c r="E96" s="19">
        <v>1005990.83923808</v>
      </c>
      <c r="F96" s="19">
        <v>1227377.0419999999</v>
      </c>
      <c r="G96" s="19">
        <v>220778.960751723</v>
      </c>
      <c r="H96" s="19">
        <v>1083414.7985818</v>
      </c>
      <c r="I96" s="19">
        <v>1038705.3435457</v>
      </c>
      <c r="J96" s="19">
        <v>1124482.7220782801</v>
      </c>
    </row>
    <row r="97" spans="1:16" s="1" customFormat="1">
      <c r="A97" s="12" t="s">
        <v>27</v>
      </c>
      <c r="B97" s="12">
        <v>2021</v>
      </c>
      <c r="C97" s="12">
        <v>1</v>
      </c>
      <c r="D97" s="12" t="s">
        <v>28</v>
      </c>
      <c r="E97" s="20">
        <v>1007367.71903616</v>
      </c>
      <c r="F97" s="20">
        <v>1279094.8359999999</v>
      </c>
      <c r="G97" s="20">
        <v>271529.261260278</v>
      </c>
      <c r="H97" s="20">
        <v>1354944.0598420701</v>
      </c>
      <c r="I97" s="20">
        <v>1310493.17959668</v>
      </c>
      <c r="J97" s="20">
        <v>1399238.0083214</v>
      </c>
    </row>
    <row r="98" spans="1:16" s="1" customFormat="1">
      <c r="A98" s="13" t="s">
        <v>27</v>
      </c>
      <c r="B98" s="13">
        <v>2021</v>
      </c>
      <c r="C98" s="13">
        <v>2</v>
      </c>
      <c r="D98" s="13" t="s">
        <v>28</v>
      </c>
      <c r="E98" s="21">
        <v>990317.14722119702</v>
      </c>
      <c r="F98" s="21">
        <v>1019349.89</v>
      </c>
      <c r="G98" s="21">
        <v>28834.8870752394</v>
      </c>
      <c r="H98" s="21">
        <v>1383778.9469173099</v>
      </c>
      <c r="I98" s="21">
        <v>1336420.5486021701</v>
      </c>
      <c r="J98" s="21">
        <v>1430388.7001567499</v>
      </c>
    </row>
    <row r="99" spans="1:16" s="1" customFormat="1">
      <c r="A99" s="13" t="s">
        <v>27</v>
      </c>
      <c r="B99" s="13">
        <v>2021</v>
      </c>
      <c r="C99" s="13">
        <v>3</v>
      </c>
      <c r="D99" s="13" t="s">
        <v>28</v>
      </c>
      <c r="E99" s="21">
        <v>978180.23534726398</v>
      </c>
      <c r="F99" s="21">
        <v>1040420.2439999999</v>
      </c>
      <c r="G99" s="21">
        <v>62042.152949172501</v>
      </c>
      <c r="H99" s="21">
        <v>1445821.0998664901</v>
      </c>
      <c r="I99" s="21">
        <v>1394885.8155741401</v>
      </c>
      <c r="J99" s="21">
        <v>1494727.2690739101</v>
      </c>
    </row>
    <row r="100" spans="1:16" s="1" customFormat="1">
      <c r="A100" s="13" t="s">
        <v>27</v>
      </c>
      <c r="B100" s="13">
        <v>2021</v>
      </c>
      <c r="C100" s="13">
        <v>4</v>
      </c>
      <c r="D100" s="13" t="s">
        <v>28</v>
      </c>
      <c r="E100" s="21">
        <v>924277.59617019095</v>
      </c>
      <c r="F100" s="21">
        <v>997531.277</v>
      </c>
      <c r="G100" s="21">
        <v>73055.825126246098</v>
      </c>
      <c r="H100" s="21">
        <v>1518876.9249927299</v>
      </c>
      <c r="I100" s="21">
        <v>1467771.2724009899</v>
      </c>
      <c r="J100" s="21">
        <v>1569811.41054588</v>
      </c>
    </row>
    <row r="101" spans="1:16" s="1" customFormat="1">
      <c r="A101" s="13" t="s">
        <v>27</v>
      </c>
      <c r="B101" s="13">
        <v>2021</v>
      </c>
      <c r="C101" s="13">
        <v>5</v>
      </c>
      <c r="D101" s="13" t="s">
        <v>28</v>
      </c>
      <c r="E101" s="21">
        <v>891326.46271822101</v>
      </c>
      <c r="F101" s="21">
        <v>963025.38199999998</v>
      </c>
      <c r="G101" s="21">
        <v>71501.063578216097</v>
      </c>
      <c r="H101" s="21">
        <v>1590377.98857095</v>
      </c>
      <c r="I101" s="21">
        <v>1539268.3769556801</v>
      </c>
      <c r="J101" s="21">
        <v>1642146.9387555299</v>
      </c>
    </row>
    <row r="102" spans="1:16" s="1" customFormat="1">
      <c r="A102" s="13" t="s">
        <v>27</v>
      </c>
      <c r="B102" s="13">
        <v>2021</v>
      </c>
      <c r="C102" s="13">
        <v>6</v>
      </c>
      <c r="D102" s="13" t="s">
        <v>28</v>
      </c>
      <c r="E102" s="21">
        <v>865386.95902760699</v>
      </c>
      <c r="F102" s="21">
        <v>903723.12699999998</v>
      </c>
      <c r="G102" s="21">
        <v>38138.312268829599</v>
      </c>
      <c r="H102" s="21">
        <v>1628516.3008397799</v>
      </c>
      <c r="I102" s="21">
        <v>1576653.9790246801</v>
      </c>
      <c r="J102" s="21">
        <v>1682136.9162103699</v>
      </c>
    </row>
    <row r="103" spans="1:16" s="1" customFormat="1">
      <c r="A103" s="13" t="s">
        <v>27</v>
      </c>
      <c r="B103" s="13">
        <v>2021</v>
      </c>
      <c r="C103" s="13">
        <v>7</v>
      </c>
      <c r="D103" s="13" t="s">
        <v>28</v>
      </c>
      <c r="E103" s="21">
        <v>876242.63597870502</v>
      </c>
      <c r="F103" s="21">
        <v>936751.65</v>
      </c>
      <c r="G103" s="21">
        <v>60311.158317731599</v>
      </c>
      <c r="H103" s="21">
        <v>1688827.45915751</v>
      </c>
      <c r="I103" s="21">
        <v>1633109.3629834</v>
      </c>
      <c r="J103" s="21">
        <v>1747044.4888023499</v>
      </c>
    </row>
    <row r="104" spans="1:16" s="1" customFormat="1">
      <c r="A104" s="13" t="s">
        <v>27</v>
      </c>
      <c r="B104" s="13">
        <v>2021</v>
      </c>
      <c r="C104" s="13">
        <v>8</v>
      </c>
      <c r="D104" s="13" t="s">
        <v>28</v>
      </c>
      <c r="E104" s="21">
        <v>874234.94329625997</v>
      </c>
      <c r="F104" s="21">
        <v>995976.96699999995</v>
      </c>
      <c r="G104" s="21">
        <v>121544.168000177</v>
      </c>
      <c r="H104" s="21">
        <v>1810371.62715769</v>
      </c>
      <c r="I104" s="21">
        <v>1753482.1556307301</v>
      </c>
      <c r="J104" s="21">
        <v>1866391.93429575</v>
      </c>
    </row>
    <row r="105" spans="1:16" s="1" customFormat="1">
      <c r="A105" s="13" t="s">
        <v>27</v>
      </c>
      <c r="B105" s="13">
        <v>2021</v>
      </c>
      <c r="C105" s="13">
        <v>9</v>
      </c>
      <c r="D105" s="13" t="s">
        <v>28</v>
      </c>
      <c r="E105" s="21">
        <v>866745.77793896897</v>
      </c>
      <c r="F105" s="21">
        <v>992240.47499999998</v>
      </c>
      <c r="G105" s="21">
        <v>125296.841357468</v>
      </c>
      <c r="H105" s="21">
        <v>1935668.46851515</v>
      </c>
      <c r="I105" s="21">
        <v>1875397.91099994</v>
      </c>
      <c r="J105" s="21">
        <v>1993214.5254590299</v>
      </c>
    </row>
    <row r="106" spans="1:16" s="1" customFormat="1">
      <c r="A106" s="13" t="s">
        <v>27</v>
      </c>
      <c r="B106" s="13">
        <v>2021</v>
      </c>
      <c r="C106" s="13">
        <v>10</v>
      </c>
      <c r="D106" s="13" t="s">
        <v>28</v>
      </c>
      <c r="E106" s="21">
        <v>903195.672943015</v>
      </c>
      <c r="F106" s="21">
        <v>1048527.019</v>
      </c>
      <c r="G106" s="21">
        <v>145133.49035342201</v>
      </c>
      <c r="H106" s="21">
        <v>2080801.9588685799</v>
      </c>
      <c r="I106" s="21">
        <v>2013960.8781312001</v>
      </c>
      <c r="J106" s="21">
        <v>2141852.2525357599</v>
      </c>
    </row>
    <row r="107" spans="1:16" s="1" customFormat="1">
      <c r="A107" s="13" t="s">
        <v>27</v>
      </c>
      <c r="B107" s="13">
        <v>2021</v>
      </c>
      <c r="C107" s="13">
        <v>11</v>
      </c>
      <c r="D107" s="13" t="s">
        <v>28</v>
      </c>
      <c r="E107" s="21">
        <v>942209.07867705601</v>
      </c>
      <c r="F107" s="21">
        <v>1070994.73</v>
      </c>
      <c r="G107" s="21">
        <v>128587.795619381</v>
      </c>
      <c r="H107" s="21">
        <v>2209389.7544879601</v>
      </c>
      <c r="I107" s="21">
        <v>2144725.7512130402</v>
      </c>
      <c r="J107" s="21">
        <v>2271323.3999170498</v>
      </c>
    </row>
    <row r="108" spans="1:16" s="1" customFormat="1">
      <c r="A108" s="14" t="s">
        <v>27</v>
      </c>
      <c r="B108" s="14">
        <v>2021</v>
      </c>
      <c r="C108" s="14">
        <v>12</v>
      </c>
      <c r="D108" s="14" t="s">
        <v>28</v>
      </c>
      <c r="E108" s="22">
        <v>1015422.9711339</v>
      </c>
      <c r="F108" s="22">
        <v>1165150.3729999999</v>
      </c>
      <c r="G108" s="22">
        <v>149529.54616253701</v>
      </c>
      <c r="H108" s="22">
        <v>2358919.30065049</v>
      </c>
      <c r="I108" s="22">
        <v>2292236.46517679</v>
      </c>
      <c r="J108" s="22">
        <v>2421739.5309941801</v>
      </c>
    </row>
    <row r="110" spans="1:16" s="35" customFormat="1" ht="15" customHeight="1">
      <c r="A110" s="74" t="s">
        <v>51</v>
      </c>
      <c r="B110" s="74"/>
      <c r="C110" s="74"/>
      <c r="D110" s="74"/>
      <c r="E110" s="74"/>
      <c r="F110" s="74"/>
      <c r="G110" s="74"/>
      <c r="H110" s="74"/>
      <c r="I110" s="74"/>
      <c r="J110" s="74"/>
      <c r="K110" s="74"/>
      <c r="L110" s="57"/>
      <c r="M110" s="57"/>
      <c r="N110" s="57"/>
      <c r="O110" s="57"/>
      <c r="P110" s="57"/>
    </row>
    <row r="111" spans="1:16" s="35" customFormat="1">
      <c r="A111" s="74"/>
      <c r="B111" s="74"/>
      <c r="C111" s="74"/>
      <c r="D111" s="74"/>
      <c r="E111" s="74"/>
      <c r="F111" s="74"/>
      <c r="G111" s="74"/>
      <c r="H111" s="74"/>
      <c r="I111" s="74"/>
      <c r="J111" s="74"/>
      <c r="K111" s="74"/>
      <c r="L111" s="57"/>
      <c r="M111" s="57"/>
      <c r="N111" s="57"/>
      <c r="O111" s="57"/>
      <c r="P111" s="57"/>
    </row>
    <row r="112" spans="1:16" s="35" customFormat="1">
      <c r="A112" s="74"/>
      <c r="B112" s="74"/>
      <c r="C112" s="74"/>
      <c r="D112" s="74"/>
      <c r="E112" s="74"/>
      <c r="F112" s="74"/>
      <c r="G112" s="74"/>
      <c r="H112" s="74"/>
      <c r="I112" s="74"/>
      <c r="J112" s="74"/>
      <c r="K112" s="74"/>
      <c r="L112" s="57"/>
      <c r="M112" s="57"/>
      <c r="N112" s="57"/>
      <c r="O112" s="57"/>
      <c r="P112" s="57"/>
    </row>
  </sheetData>
  <mergeCells count="1">
    <mergeCell ref="A110:K1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34207-8CE0-4F97-B144-A62F7A6AE306}">
  <sheetPr codeName="Sheet4"/>
  <dimension ref="A1:K143"/>
  <sheetViews>
    <sheetView workbookViewId="0">
      <selection activeCell="C7" sqref="C7"/>
    </sheetView>
  </sheetViews>
  <sheetFormatPr defaultColWidth="11.44140625" defaultRowHeight="14.4"/>
  <cols>
    <col min="1" max="1" width="20.5546875" style="1" customWidth="1"/>
    <col min="2" max="2" width="11.44140625" style="1"/>
    <col min="3" max="3" width="6.88671875" style="1" bestFit="1" customWidth="1"/>
    <col min="4" max="4" width="10.88671875" style="1" customWidth="1"/>
    <col min="5" max="5" width="10.6640625" style="15" customWidth="1"/>
    <col min="6" max="8" width="14.6640625" style="1" customWidth="1"/>
    <col min="9" max="9" width="9.109375" style="1" customWidth="1"/>
    <col min="10" max="16384" width="11.44140625" style="1"/>
  </cols>
  <sheetData>
    <row r="1" spans="1:11">
      <c r="A1" s="2" t="s">
        <v>14</v>
      </c>
      <c r="B1" s="1" t="s">
        <v>55</v>
      </c>
    </row>
    <row r="2" spans="1:11">
      <c r="A2" s="2" t="s">
        <v>6</v>
      </c>
      <c r="B2" s="1" t="s">
        <v>1</v>
      </c>
    </row>
    <row r="3" spans="1:11">
      <c r="A3" s="2" t="s">
        <v>15</v>
      </c>
      <c r="B3" s="1" t="s">
        <v>16</v>
      </c>
    </row>
    <row r="4" spans="1:11">
      <c r="A4" s="2" t="s">
        <v>31</v>
      </c>
      <c r="B4" s="1" t="s">
        <v>32</v>
      </c>
    </row>
    <row r="5" spans="1:11">
      <c r="A5" s="2" t="s">
        <v>8</v>
      </c>
      <c r="B5" s="1" t="s">
        <v>17</v>
      </c>
    </row>
    <row r="6" spans="1:11">
      <c r="A6" s="2" t="s">
        <v>10</v>
      </c>
      <c r="B6" s="1" t="s">
        <v>18</v>
      </c>
    </row>
    <row r="7" spans="1:11">
      <c r="A7" s="2" t="s">
        <v>23</v>
      </c>
      <c r="B7" s="1" t="s">
        <v>19</v>
      </c>
      <c r="F7" s="2"/>
    </row>
    <row r="8" spans="1:11">
      <c r="A8" s="2" t="s">
        <v>48</v>
      </c>
      <c r="B8" s="1" t="s">
        <v>20</v>
      </c>
    </row>
    <row r="10" spans="1:11">
      <c r="A10" s="31" t="s">
        <v>14</v>
      </c>
      <c r="B10" s="32" t="s">
        <v>6</v>
      </c>
      <c r="C10" s="32" t="s">
        <v>15</v>
      </c>
      <c r="D10" s="32" t="s">
        <v>31</v>
      </c>
      <c r="E10" s="32" t="s">
        <v>8</v>
      </c>
      <c r="F10" s="32" t="s">
        <v>10</v>
      </c>
      <c r="G10" s="32" t="s">
        <v>23</v>
      </c>
      <c r="H10" s="32" t="s">
        <v>48</v>
      </c>
    </row>
    <row r="11" spans="1:11">
      <c r="A11" s="23" t="s">
        <v>24</v>
      </c>
      <c r="B11" s="23">
        <v>2020</v>
      </c>
      <c r="C11" s="23" t="s">
        <v>33</v>
      </c>
      <c r="D11" s="23" t="s">
        <v>34</v>
      </c>
      <c r="E11" s="24" t="s">
        <v>35</v>
      </c>
      <c r="F11" s="43">
        <v>931995.03203689202</v>
      </c>
      <c r="G11" s="43">
        <v>932266.56077987002</v>
      </c>
      <c r="H11" s="43">
        <v>0</v>
      </c>
    </row>
    <row r="12" spans="1:11">
      <c r="A12" s="23" t="s">
        <v>24</v>
      </c>
      <c r="B12" s="23">
        <v>2020</v>
      </c>
      <c r="C12" s="23" t="s">
        <v>33</v>
      </c>
      <c r="D12" s="23" t="s">
        <v>36</v>
      </c>
      <c r="E12" s="24" t="s">
        <v>35</v>
      </c>
      <c r="F12" s="43">
        <v>131403.50842929701</v>
      </c>
      <c r="G12" s="43">
        <v>119239.32746937701</v>
      </c>
      <c r="H12" s="43">
        <v>-12336.2204718749</v>
      </c>
      <c r="K12" s="33"/>
    </row>
    <row r="13" spans="1:11">
      <c r="A13" s="23" t="s">
        <v>24</v>
      </c>
      <c r="B13" s="23">
        <v>2020</v>
      </c>
      <c r="C13" s="23" t="s">
        <v>33</v>
      </c>
      <c r="D13" s="23" t="s">
        <v>37</v>
      </c>
      <c r="E13" s="24" t="s">
        <v>35</v>
      </c>
      <c r="F13" s="43">
        <v>128722.265445916</v>
      </c>
      <c r="G13" s="43">
        <v>128096.397676001</v>
      </c>
      <c r="H13" s="43">
        <v>-670.64136595852301</v>
      </c>
    </row>
    <row r="14" spans="1:11">
      <c r="A14" s="23" t="s">
        <v>24</v>
      </c>
      <c r="B14" s="23">
        <v>2020</v>
      </c>
      <c r="C14" s="23" t="s">
        <v>33</v>
      </c>
      <c r="D14" s="23" t="s">
        <v>38</v>
      </c>
      <c r="E14" s="24" t="s">
        <v>35</v>
      </c>
      <c r="F14" s="43">
        <v>143548.930342031</v>
      </c>
      <c r="G14" s="43">
        <v>151590.583114801</v>
      </c>
      <c r="H14" s="43">
        <v>8087.5204635344699</v>
      </c>
    </row>
    <row r="15" spans="1:11">
      <c r="A15" s="23" t="s">
        <v>24</v>
      </c>
      <c r="B15" s="23">
        <v>2020</v>
      </c>
      <c r="C15" s="23" t="s">
        <v>33</v>
      </c>
      <c r="D15" s="23" t="s">
        <v>39</v>
      </c>
      <c r="E15" s="24" t="s">
        <v>35</v>
      </c>
      <c r="F15" s="43">
        <v>185707.92209379</v>
      </c>
      <c r="G15" s="43">
        <v>200802.18452977401</v>
      </c>
      <c r="H15" s="43">
        <v>15205.0193865694</v>
      </c>
    </row>
    <row r="16" spans="1:11">
      <c r="A16" s="23" t="s">
        <v>24</v>
      </c>
      <c r="B16" s="23">
        <v>2020</v>
      </c>
      <c r="C16" s="23" t="s">
        <v>33</v>
      </c>
      <c r="D16" s="23" t="s">
        <v>40</v>
      </c>
      <c r="E16" s="24" t="s">
        <v>35</v>
      </c>
      <c r="F16" s="43">
        <v>261945.85253472501</v>
      </c>
      <c r="G16" s="43">
        <v>280850.44736754597</v>
      </c>
      <c r="H16" s="43">
        <v>19034.663671218299</v>
      </c>
    </row>
    <row r="17" spans="1:8">
      <c r="A17" s="23" t="s">
        <v>24</v>
      </c>
      <c r="B17" s="23">
        <v>2020</v>
      </c>
      <c r="C17" s="23" t="s">
        <v>33</v>
      </c>
      <c r="D17" s="23" t="s">
        <v>41</v>
      </c>
      <c r="E17" s="24" t="s">
        <v>35</v>
      </c>
      <c r="F17" s="43">
        <v>265180.54669978999</v>
      </c>
      <c r="G17" s="43">
        <v>264045.82507205801</v>
      </c>
      <c r="H17" s="43">
        <v>-1225.2647089929101</v>
      </c>
    </row>
    <row r="18" spans="1:8">
      <c r="A18" s="7" t="s">
        <v>24</v>
      </c>
      <c r="B18" s="7">
        <v>2020</v>
      </c>
      <c r="C18" s="7" t="s">
        <v>33</v>
      </c>
      <c r="D18" s="7" t="s">
        <v>42</v>
      </c>
      <c r="E18" s="16" t="s">
        <v>35</v>
      </c>
      <c r="F18" s="44">
        <v>99879.359101811802</v>
      </c>
      <c r="G18" s="44">
        <v>111701.058238806</v>
      </c>
      <c r="H18" s="44">
        <v>11921.863684198101</v>
      </c>
    </row>
    <row r="19" spans="1:8">
      <c r="A19" s="13" t="s">
        <v>24</v>
      </c>
      <c r="B19" s="13">
        <v>2020</v>
      </c>
      <c r="C19" s="13" t="s">
        <v>43</v>
      </c>
      <c r="D19" s="13" t="s">
        <v>34</v>
      </c>
      <c r="E19" s="27" t="s">
        <v>35</v>
      </c>
      <c r="F19" s="21">
        <v>1170040.9690294999</v>
      </c>
      <c r="G19" s="21">
        <v>1170381.85041045</v>
      </c>
      <c r="H19" s="21">
        <v>0</v>
      </c>
    </row>
    <row r="20" spans="1:8">
      <c r="A20" s="13" t="s">
        <v>24</v>
      </c>
      <c r="B20" s="13">
        <v>2020</v>
      </c>
      <c r="C20" s="13" t="s">
        <v>43</v>
      </c>
      <c r="D20" s="13" t="s">
        <v>36</v>
      </c>
      <c r="E20" s="27" t="s">
        <v>35</v>
      </c>
      <c r="F20" s="21">
        <v>200212.383925476</v>
      </c>
      <c r="G20" s="21">
        <v>179309.589985</v>
      </c>
      <c r="H20" s="21">
        <v>-21190.887599796701</v>
      </c>
    </row>
    <row r="21" spans="1:8">
      <c r="A21" s="13" t="s">
        <v>24</v>
      </c>
      <c r="B21" s="13">
        <v>2020</v>
      </c>
      <c r="C21" s="13" t="s">
        <v>43</v>
      </c>
      <c r="D21" s="13" t="s">
        <v>37</v>
      </c>
      <c r="E21" s="27" t="s">
        <v>35</v>
      </c>
      <c r="F21" s="21">
        <v>180453.69982816401</v>
      </c>
      <c r="G21" s="21">
        <v>176977.01722954001</v>
      </c>
      <c r="H21" s="21">
        <v>-3567.94186228848</v>
      </c>
    </row>
    <row r="22" spans="1:8">
      <c r="A22" s="13" t="s">
        <v>24</v>
      </c>
      <c r="B22" s="13">
        <v>2020</v>
      </c>
      <c r="C22" s="13" t="s">
        <v>43</v>
      </c>
      <c r="D22" s="13" t="s">
        <v>38</v>
      </c>
      <c r="E22" s="27" t="s">
        <v>35</v>
      </c>
      <c r="F22" s="21">
        <v>197096.63812677201</v>
      </c>
      <c r="G22" s="21">
        <v>210398.36918494801</v>
      </c>
      <c r="H22" s="21">
        <v>13389.4849605625</v>
      </c>
    </row>
    <row r="23" spans="1:8">
      <c r="A23" s="13" t="s">
        <v>24</v>
      </c>
      <c r="B23" s="13">
        <v>2020</v>
      </c>
      <c r="C23" s="13" t="s">
        <v>43</v>
      </c>
      <c r="D23" s="13" t="s">
        <v>39</v>
      </c>
      <c r="E23" s="27" t="s">
        <v>35</v>
      </c>
      <c r="F23" s="21">
        <v>231109.66706485901</v>
      </c>
      <c r="G23" s="21">
        <v>261757.21983899601</v>
      </c>
      <c r="H23" s="21">
        <v>30915.423337431799</v>
      </c>
    </row>
    <row r="24" spans="1:8">
      <c r="A24" s="13" t="s">
        <v>24</v>
      </c>
      <c r="B24" s="13">
        <v>2020</v>
      </c>
      <c r="C24" s="13" t="s">
        <v>43</v>
      </c>
      <c r="D24" s="13" t="s">
        <v>40</v>
      </c>
      <c r="E24" s="27" t="s">
        <v>35</v>
      </c>
      <c r="F24" s="21">
        <v>268773.76827572897</v>
      </c>
      <c r="G24" s="21">
        <v>306591.43520283099</v>
      </c>
      <c r="H24" s="21">
        <v>38153.038667476401</v>
      </c>
    </row>
    <row r="25" spans="1:8">
      <c r="A25" s="13" t="s">
        <v>24</v>
      </c>
      <c r="B25" s="13">
        <v>2020</v>
      </c>
      <c r="C25" s="13" t="s">
        <v>43</v>
      </c>
      <c r="D25" s="13" t="s">
        <v>41</v>
      </c>
      <c r="E25" s="27" t="s">
        <v>35</v>
      </c>
      <c r="F25" s="21">
        <v>214366.40783255899</v>
      </c>
      <c r="G25" s="21">
        <v>230671.69159009701</v>
      </c>
      <c r="H25" s="21">
        <v>16420.874286111099</v>
      </c>
    </row>
    <row r="26" spans="1:8">
      <c r="A26" s="14" t="s">
        <v>24</v>
      </c>
      <c r="B26" s="14">
        <v>2020</v>
      </c>
      <c r="C26" s="14" t="s">
        <v>43</v>
      </c>
      <c r="D26" s="14" t="s">
        <v>42</v>
      </c>
      <c r="E26" s="28" t="s">
        <v>35</v>
      </c>
      <c r="F26" s="22">
        <v>54679.130846299202</v>
      </c>
      <c r="G26" s="22">
        <v>65788.958309907801</v>
      </c>
      <c r="H26" s="22">
        <v>11215.5019381944</v>
      </c>
    </row>
    <row r="27" spans="1:8">
      <c r="A27" s="23" t="s">
        <v>24</v>
      </c>
      <c r="B27" s="23">
        <v>2021</v>
      </c>
      <c r="C27" s="23" t="s">
        <v>33</v>
      </c>
      <c r="D27" s="23" t="s">
        <v>34</v>
      </c>
      <c r="E27" s="24" t="s">
        <v>35</v>
      </c>
      <c r="F27" s="43">
        <v>916171.22173709003</v>
      </c>
      <c r="G27" s="43">
        <v>916285.86580538005</v>
      </c>
      <c r="H27" s="43">
        <v>0</v>
      </c>
    </row>
    <row r="28" spans="1:8">
      <c r="A28" s="23" t="s">
        <v>24</v>
      </c>
      <c r="B28" s="23">
        <v>2021</v>
      </c>
      <c r="C28" s="23" t="s">
        <v>33</v>
      </c>
      <c r="D28" s="23" t="s">
        <v>36</v>
      </c>
      <c r="E28" s="24" t="s">
        <v>35</v>
      </c>
      <c r="F28" s="43">
        <v>131179.66710006201</v>
      </c>
      <c r="G28" s="43">
        <v>135363.40620036799</v>
      </c>
      <c r="H28" s="43">
        <v>4174.6204720400201</v>
      </c>
    </row>
    <row r="29" spans="1:8">
      <c r="A29" s="23" t="s">
        <v>24</v>
      </c>
      <c r="B29" s="23">
        <v>2021</v>
      </c>
      <c r="C29" s="23" t="s">
        <v>33</v>
      </c>
      <c r="D29" s="23" t="s">
        <v>37</v>
      </c>
      <c r="E29" s="24" t="s">
        <v>35</v>
      </c>
      <c r="F29" s="43">
        <v>128920.243958844</v>
      </c>
      <c r="G29" s="43">
        <v>147559.81297455801</v>
      </c>
      <c r="H29" s="43">
        <v>18656.043721731599</v>
      </c>
    </row>
    <row r="30" spans="1:8">
      <c r="A30" s="23" t="s">
        <v>24</v>
      </c>
      <c r="B30" s="23">
        <v>2021</v>
      </c>
      <c r="C30" s="23" t="s">
        <v>33</v>
      </c>
      <c r="D30" s="23" t="s">
        <v>38</v>
      </c>
      <c r="E30" s="24" t="s">
        <v>35</v>
      </c>
      <c r="F30" s="43">
        <v>143791.18259983</v>
      </c>
      <c r="G30" s="43">
        <v>175245.500809285</v>
      </c>
      <c r="H30" s="43">
        <v>31491.365608143798</v>
      </c>
    </row>
    <row r="31" spans="1:8">
      <c r="A31" s="23" t="s">
        <v>24</v>
      </c>
      <c r="B31" s="23">
        <v>2021</v>
      </c>
      <c r="C31" s="23" t="s">
        <v>33</v>
      </c>
      <c r="D31" s="23" t="s">
        <v>39</v>
      </c>
      <c r="E31" s="24" t="s">
        <v>35</v>
      </c>
      <c r="F31" s="43">
        <v>186514.24961602199</v>
      </c>
      <c r="G31" s="43">
        <v>221022.71176652701</v>
      </c>
      <c r="H31" s="43">
        <v>34545.501458454499</v>
      </c>
    </row>
    <row r="32" spans="1:8">
      <c r="A32" s="23" t="s">
        <v>24</v>
      </c>
      <c r="B32" s="23">
        <v>2021</v>
      </c>
      <c r="C32" s="23" t="s">
        <v>33</v>
      </c>
      <c r="D32" s="23" t="s">
        <v>40</v>
      </c>
      <c r="E32" s="24" t="s">
        <v>35</v>
      </c>
      <c r="F32" s="43">
        <v>263318.98865530599</v>
      </c>
      <c r="G32" s="43">
        <v>293447.86805415002</v>
      </c>
      <c r="H32" s="43">
        <v>30148.6229752668</v>
      </c>
    </row>
    <row r="33" spans="1:8">
      <c r="A33" s="23" t="s">
        <v>24</v>
      </c>
      <c r="B33" s="23">
        <v>2021</v>
      </c>
      <c r="C33" s="23" t="s">
        <v>33</v>
      </c>
      <c r="D33" s="23" t="s">
        <v>41</v>
      </c>
      <c r="E33" s="24" t="s">
        <v>35</v>
      </c>
      <c r="F33" s="43">
        <v>267172.75751168001</v>
      </c>
      <c r="G33" s="43">
        <v>284798.003304496</v>
      </c>
      <c r="H33" s="43">
        <v>17622.6141979532</v>
      </c>
    </row>
    <row r="34" spans="1:8">
      <c r="A34" s="7" t="s">
        <v>24</v>
      </c>
      <c r="B34" s="7">
        <v>2021</v>
      </c>
      <c r="C34" s="7" t="s">
        <v>33</v>
      </c>
      <c r="D34" s="7" t="s">
        <v>42</v>
      </c>
      <c r="E34" s="16" t="s">
        <v>35</v>
      </c>
      <c r="F34" s="44">
        <v>100665.800494216</v>
      </c>
      <c r="G34" s="44">
        <v>120367.813573526</v>
      </c>
      <c r="H34" s="44">
        <v>19723.889752982199</v>
      </c>
    </row>
    <row r="35" spans="1:8">
      <c r="A35" s="13" t="s">
        <v>24</v>
      </c>
      <c r="B35" s="13">
        <v>2021</v>
      </c>
      <c r="C35" s="13" t="s">
        <v>43</v>
      </c>
      <c r="D35" s="13" t="s">
        <v>34</v>
      </c>
      <c r="E35" s="27" t="s">
        <v>35</v>
      </c>
      <c r="F35" s="21">
        <v>1158281.6813634001</v>
      </c>
      <c r="G35" s="21">
        <v>1158426.6216551501</v>
      </c>
      <c r="H35" s="21">
        <v>0</v>
      </c>
    </row>
    <row r="36" spans="1:8">
      <c r="A36" s="13" t="s">
        <v>24</v>
      </c>
      <c r="B36" s="13">
        <v>2021</v>
      </c>
      <c r="C36" s="13" t="s">
        <v>43</v>
      </c>
      <c r="D36" s="13" t="s">
        <v>36</v>
      </c>
      <c r="E36" s="27" t="s">
        <v>35</v>
      </c>
      <c r="F36" s="21">
        <v>204718.600214395</v>
      </c>
      <c r="G36" s="21">
        <v>215297.59322648801</v>
      </c>
      <c r="H36" s="21">
        <v>10571.8532423175</v>
      </c>
    </row>
    <row r="37" spans="1:8">
      <c r="A37" s="13" t="s">
        <v>24</v>
      </c>
      <c r="B37" s="13">
        <v>2021</v>
      </c>
      <c r="C37" s="13" t="s">
        <v>43</v>
      </c>
      <c r="D37" s="13" t="s">
        <v>37</v>
      </c>
      <c r="E37" s="27" t="s">
        <v>35</v>
      </c>
      <c r="F37" s="21">
        <v>183518.97425213599</v>
      </c>
      <c r="G37" s="21">
        <v>211742.10148058299</v>
      </c>
      <c r="H37" s="21">
        <v>28249.5372726811</v>
      </c>
    </row>
    <row r="38" spans="1:8">
      <c r="A38" s="13" t="s">
        <v>24</v>
      </c>
      <c r="B38" s="13">
        <v>2021</v>
      </c>
      <c r="C38" s="13" t="s">
        <v>43</v>
      </c>
      <c r="D38" s="13" t="s">
        <v>38</v>
      </c>
      <c r="E38" s="27" t="s">
        <v>35</v>
      </c>
      <c r="F38" s="21">
        <v>199948.00480150199</v>
      </c>
      <c r="G38" s="21">
        <v>241194.99802690401</v>
      </c>
      <c r="H38" s="21">
        <v>41294.146784719102</v>
      </c>
    </row>
    <row r="39" spans="1:8">
      <c r="A39" s="13" t="s">
        <v>24</v>
      </c>
      <c r="B39" s="13">
        <v>2021</v>
      </c>
      <c r="C39" s="13" t="s">
        <v>43</v>
      </c>
      <c r="D39" s="13" t="s">
        <v>39</v>
      </c>
      <c r="E39" s="27" t="s">
        <v>35</v>
      </c>
      <c r="F39" s="21">
        <v>234756.788423527</v>
      </c>
      <c r="G39" s="21">
        <v>272074.54407146998</v>
      </c>
      <c r="H39" s="21">
        <v>37353.666284495303</v>
      </c>
    </row>
    <row r="40" spans="1:8">
      <c r="A40" s="13" t="s">
        <v>24</v>
      </c>
      <c r="B40" s="13">
        <v>2021</v>
      </c>
      <c r="C40" s="13" t="s">
        <v>43</v>
      </c>
      <c r="D40" s="13" t="s">
        <v>40</v>
      </c>
      <c r="E40" s="27" t="s">
        <v>35</v>
      </c>
      <c r="F40" s="21">
        <v>270723.57772077899</v>
      </c>
      <c r="G40" s="21">
        <v>304900.62335933099</v>
      </c>
      <c r="H40" s="21">
        <v>34202.948792861796</v>
      </c>
    </row>
    <row r="41" spans="1:8">
      <c r="A41" s="13" t="s">
        <v>24</v>
      </c>
      <c r="B41" s="13">
        <v>2021</v>
      </c>
      <c r="C41" s="13" t="s">
        <v>43</v>
      </c>
      <c r="D41" s="13" t="s">
        <v>41</v>
      </c>
      <c r="E41" s="27" t="s">
        <v>35</v>
      </c>
      <c r="F41" s="21">
        <v>217568.3749963</v>
      </c>
      <c r="G41" s="21">
        <v>234535.29067950899</v>
      </c>
      <c r="H41" s="21">
        <v>16969.349502873702</v>
      </c>
    </row>
    <row r="42" spans="1:8">
      <c r="A42" s="14" t="s">
        <v>24</v>
      </c>
      <c r="B42" s="14">
        <v>2021</v>
      </c>
      <c r="C42" s="14" t="s">
        <v>43</v>
      </c>
      <c r="D42" s="14" t="s">
        <v>42</v>
      </c>
      <c r="E42" s="28" t="s">
        <v>35</v>
      </c>
      <c r="F42" s="22">
        <v>55278.702209191397</v>
      </c>
      <c r="G42" s="22">
        <v>64080.572012269498</v>
      </c>
      <c r="H42" s="22">
        <v>8810.3512791992198</v>
      </c>
    </row>
    <row r="43" spans="1:8">
      <c r="A43" s="23" t="s">
        <v>25</v>
      </c>
      <c r="B43" s="23">
        <v>2020</v>
      </c>
      <c r="C43" s="23" t="s">
        <v>33</v>
      </c>
      <c r="D43" s="23" t="s">
        <v>34</v>
      </c>
      <c r="E43" s="24" t="s">
        <v>35</v>
      </c>
      <c r="F43" s="43">
        <v>1894307.6252780801</v>
      </c>
      <c r="G43" s="43">
        <v>1894664.1856456499</v>
      </c>
      <c r="H43" s="43">
        <v>-1283.0661647678</v>
      </c>
    </row>
    <row r="44" spans="1:8">
      <c r="A44" s="23" t="s">
        <v>25</v>
      </c>
      <c r="B44" s="23">
        <v>2020</v>
      </c>
      <c r="C44" s="23" t="s">
        <v>33</v>
      </c>
      <c r="D44" s="23" t="s">
        <v>36</v>
      </c>
      <c r="E44" s="24" t="s">
        <v>35</v>
      </c>
      <c r="F44" s="43">
        <v>388080.91964103299</v>
      </c>
      <c r="G44" s="43">
        <v>358818.95253627602</v>
      </c>
      <c r="H44" s="43">
        <v>-30053.9729229521</v>
      </c>
    </row>
    <row r="45" spans="1:8">
      <c r="A45" s="23" t="s">
        <v>25</v>
      </c>
      <c r="B45" s="23">
        <v>2020</v>
      </c>
      <c r="C45" s="23" t="s">
        <v>33</v>
      </c>
      <c r="D45" s="23" t="s">
        <v>37</v>
      </c>
      <c r="E45" s="24" t="s">
        <v>35</v>
      </c>
      <c r="F45" s="43">
        <v>522388.69162470201</v>
      </c>
      <c r="G45" s="43">
        <v>534468.68219437404</v>
      </c>
      <c r="H45" s="43">
        <v>11545.8577739384</v>
      </c>
    </row>
    <row r="46" spans="1:8">
      <c r="A46" s="23" t="s">
        <v>25</v>
      </c>
      <c r="B46" s="23">
        <v>2020</v>
      </c>
      <c r="C46" s="23" t="s">
        <v>33</v>
      </c>
      <c r="D46" s="23" t="s">
        <v>38</v>
      </c>
      <c r="E46" s="24" t="s">
        <v>35</v>
      </c>
      <c r="F46" s="43">
        <v>806986.39983913896</v>
      </c>
      <c r="G46" s="43">
        <v>876928.68015482603</v>
      </c>
      <c r="H46" s="43">
        <v>69698.3243413335</v>
      </c>
    </row>
    <row r="47" spans="1:8">
      <c r="A47" s="23" t="s">
        <v>25</v>
      </c>
      <c r="B47" s="23">
        <v>2020</v>
      </c>
      <c r="C47" s="23" t="s">
        <v>33</v>
      </c>
      <c r="D47" s="23" t="s">
        <v>39</v>
      </c>
      <c r="E47" s="24" t="s">
        <v>35</v>
      </c>
      <c r="F47" s="43">
        <v>1352702.61642723</v>
      </c>
      <c r="G47" s="43">
        <v>1500977.43626981</v>
      </c>
      <c r="H47" s="43">
        <v>148306.23194079701</v>
      </c>
    </row>
    <row r="48" spans="1:8">
      <c r="A48" s="23" t="s">
        <v>25</v>
      </c>
      <c r="B48" s="23">
        <v>2020</v>
      </c>
      <c r="C48" s="23" t="s">
        <v>33</v>
      </c>
      <c r="D48" s="23" t="s">
        <v>40</v>
      </c>
      <c r="E48" s="24" t="s">
        <v>35</v>
      </c>
      <c r="F48" s="43">
        <v>1942769.2812896799</v>
      </c>
      <c r="G48" s="43">
        <v>2147244.4124858198</v>
      </c>
      <c r="H48" s="43">
        <v>204558.743962512</v>
      </c>
    </row>
    <row r="49" spans="1:8">
      <c r="A49" s="23" t="s">
        <v>25</v>
      </c>
      <c r="B49" s="23">
        <v>2020</v>
      </c>
      <c r="C49" s="23" t="s">
        <v>33</v>
      </c>
      <c r="D49" s="23" t="s">
        <v>41</v>
      </c>
      <c r="E49" s="24" t="s">
        <v>35</v>
      </c>
      <c r="F49" s="43">
        <v>2087572.48305646</v>
      </c>
      <c r="G49" s="43">
        <v>2171976.0576812602</v>
      </c>
      <c r="H49" s="43">
        <v>83346.608608607203</v>
      </c>
    </row>
    <row r="50" spans="1:8">
      <c r="A50" s="7" t="s">
        <v>25</v>
      </c>
      <c r="B50" s="7">
        <v>2020</v>
      </c>
      <c r="C50" s="7" t="s">
        <v>33</v>
      </c>
      <c r="D50" s="7" t="s">
        <v>42</v>
      </c>
      <c r="E50" s="16" t="s">
        <v>35</v>
      </c>
      <c r="F50" s="44">
        <v>1127083.7642262999</v>
      </c>
      <c r="G50" s="44">
        <v>1310259.30429566</v>
      </c>
      <c r="H50" s="44">
        <v>183672.85506256201</v>
      </c>
    </row>
    <row r="51" spans="1:8">
      <c r="A51" s="13" t="s">
        <v>25</v>
      </c>
      <c r="B51" s="13">
        <v>2020</v>
      </c>
      <c r="C51" s="13" t="s">
        <v>43</v>
      </c>
      <c r="D51" s="13" t="s">
        <v>34</v>
      </c>
      <c r="E51" s="27" t="s">
        <v>35</v>
      </c>
      <c r="F51" s="21">
        <v>2247861.8940492501</v>
      </c>
      <c r="G51" s="21">
        <v>2253388.4184617</v>
      </c>
      <c r="H51" s="21">
        <v>3672.58016087947</v>
      </c>
    </row>
    <row r="52" spans="1:8">
      <c r="A52" s="13" t="s">
        <v>25</v>
      </c>
      <c r="B52" s="13">
        <v>2020</v>
      </c>
      <c r="C52" s="13" t="s">
        <v>43</v>
      </c>
      <c r="D52" s="13" t="s">
        <v>36</v>
      </c>
      <c r="E52" s="27" t="s">
        <v>35</v>
      </c>
      <c r="F52" s="21">
        <v>567466.970622828</v>
      </c>
      <c r="G52" s="21">
        <v>521746.92793156899</v>
      </c>
      <c r="H52" s="21">
        <v>-46785.195894171702</v>
      </c>
    </row>
    <row r="53" spans="1:8">
      <c r="A53" s="13" t="s">
        <v>25</v>
      </c>
      <c r="B53" s="13">
        <v>2020</v>
      </c>
      <c r="C53" s="13" t="s">
        <v>43</v>
      </c>
      <c r="D53" s="13" t="s">
        <v>37</v>
      </c>
      <c r="E53" s="27" t="s">
        <v>35</v>
      </c>
      <c r="F53" s="21">
        <v>802079.73383381299</v>
      </c>
      <c r="G53" s="21">
        <v>808399.02280501905</v>
      </c>
      <c r="H53" s="21">
        <v>5530.7386036817697</v>
      </c>
    </row>
    <row r="54" spans="1:8">
      <c r="A54" s="13" t="s">
        <v>25</v>
      </c>
      <c r="B54" s="13">
        <v>2020</v>
      </c>
      <c r="C54" s="13" t="s">
        <v>43</v>
      </c>
      <c r="D54" s="13" t="s">
        <v>38</v>
      </c>
      <c r="E54" s="27" t="s">
        <v>35</v>
      </c>
      <c r="F54" s="21">
        <v>1207822.71615475</v>
      </c>
      <c r="G54" s="21">
        <v>1322854.4705612401</v>
      </c>
      <c r="H54" s="21">
        <v>114882.81559877</v>
      </c>
    </row>
    <row r="55" spans="1:8">
      <c r="A55" s="13" t="s">
        <v>25</v>
      </c>
      <c r="B55" s="13">
        <v>2020</v>
      </c>
      <c r="C55" s="13" t="s">
        <v>43</v>
      </c>
      <c r="D55" s="13" t="s">
        <v>39</v>
      </c>
      <c r="E55" s="27" t="s">
        <v>35</v>
      </c>
      <c r="F55" s="21">
        <v>1979697.62543194</v>
      </c>
      <c r="G55" s="21">
        <v>2286116.6070291302</v>
      </c>
      <c r="H55" s="21">
        <v>307353.92262051901</v>
      </c>
    </row>
    <row r="56" spans="1:8">
      <c r="A56" s="13" t="s">
        <v>25</v>
      </c>
      <c r="B56" s="13">
        <v>2020</v>
      </c>
      <c r="C56" s="13" t="s">
        <v>43</v>
      </c>
      <c r="D56" s="13" t="s">
        <v>40</v>
      </c>
      <c r="E56" s="27" t="s">
        <v>35</v>
      </c>
      <c r="F56" s="21">
        <v>2372039.3100081501</v>
      </c>
      <c r="G56" s="21">
        <v>2762619.19894352</v>
      </c>
      <c r="H56" s="21">
        <v>391952.71303443803</v>
      </c>
    </row>
    <row r="57" spans="1:8">
      <c r="A57" s="13" t="s">
        <v>25</v>
      </c>
      <c r="B57" s="13">
        <v>2020</v>
      </c>
      <c r="C57" s="13" t="s">
        <v>43</v>
      </c>
      <c r="D57" s="13" t="s">
        <v>41</v>
      </c>
      <c r="E57" s="27" t="s">
        <v>35</v>
      </c>
      <c r="F57" s="21">
        <v>1940479.1471204199</v>
      </c>
      <c r="G57" s="21">
        <v>2153813.5431766901</v>
      </c>
      <c r="H57" s="21">
        <v>213496.018587842</v>
      </c>
    </row>
    <row r="58" spans="1:8">
      <c r="A58" s="14" t="s">
        <v>25</v>
      </c>
      <c r="B58" s="14">
        <v>2020</v>
      </c>
      <c r="C58" s="14" t="s">
        <v>43</v>
      </c>
      <c r="D58" s="14" t="s">
        <v>42</v>
      </c>
      <c r="E58" s="28" t="s">
        <v>35</v>
      </c>
      <c r="F58" s="22">
        <v>784467.16027903103</v>
      </c>
      <c r="G58" s="22">
        <v>994543.93982744601</v>
      </c>
      <c r="H58" s="22">
        <v>211056.73514378199</v>
      </c>
    </row>
    <row r="59" spans="1:8">
      <c r="A59" s="23" t="s">
        <v>25</v>
      </c>
      <c r="B59" s="23">
        <v>2021</v>
      </c>
      <c r="C59" s="23" t="s">
        <v>33</v>
      </c>
      <c r="D59" s="23" t="s">
        <v>34</v>
      </c>
      <c r="E59" s="24" t="s">
        <v>35</v>
      </c>
      <c r="F59" s="43">
        <v>1842300.3062797401</v>
      </c>
      <c r="G59" s="43">
        <v>1845863.6971017399</v>
      </c>
      <c r="H59" s="43">
        <v>2412.4925298275598</v>
      </c>
    </row>
    <row r="60" spans="1:8">
      <c r="A60" s="23" t="s">
        <v>25</v>
      </c>
      <c r="B60" s="23">
        <v>2021</v>
      </c>
      <c r="C60" s="23" t="s">
        <v>33</v>
      </c>
      <c r="D60" s="23" t="s">
        <v>36</v>
      </c>
      <c r="E60" s="24" t="s">
        <v>35</v>
      </c>
      <c r="F60" s="43">
        <v>383400.832086546</v>
      </c>
      <c r="G60" s="43">
        <v>426130.72761857102</v>
      </c>
      <c r="H60" s="43">
        <v>42408.856501268099</v>
      </c>
    </row>
    <row r="61" spans="1:8">
      <c r="A61" s="23" t="s">
        <v>25</v>
      </c>
      <c r="B61" s="23">
        <v>2021</v>
      </c>
      <c r="C61" s="23" t="s">
        <v>33</v>
      </c>
      <c r="D61" s="23" t="s">
        <v>37</v>
      </c>
      <c r="E61" s="24" t="s">
        <v>35</v>
      </c>
      <c r="F61" s="43">
        <v>525122.67489274498</v>
      </c>
      <c r="G61" s="43">
        <v>657087.74026558001</v>
      </c>
      <c r="H61" s="43">
        <v>131750.92052973199</v>
      </c>
    </row>
    <row r="62" spans="1:8">
      <c r="A62" s="23" t="s">
        <v>25</v>
      </c>
      <c r="B62" s="23">
        <v>2021</v>
      </c>
      <c r="C62" s="23" t="s">
        <v>33</v>
      </c>
      <c r="D62" s="23" t="s">
        <v>38</v>
      </c>
      <c r="E62" s="24" t="s">
        <v>35</v>
      </c>
      <c r="F62" s="43">
        <v>810384.708980405</v>
      </c>
      <c r="G62" s="43">
        <v>1124515.4386412301</v>
      </c>
      <c r="H62" s="43">
        <v>314136.88467244501</v>
      </c>
    </row>
    <row r="63" spans="1:8">
      <c r="A63" s="23" t="s">
        <v>25</v>
      </c>
      <c r="B63" s="23">
        <v>2021</v>
      </c>
      <c r="C63" s="23" t="s">
        <v>33</v>
      </c>
      <c r="D63" s="23" t="s">
        <v>39</v>
      </c>
      <c r="E63" s="24" t="s">
        <v>35</v>
      </c>
      <c r="F63" s="43">
        <v>1360454.59077981</v>
      </c>
      <c r="G63" s="43">
        <v>1942520.2401114099</v>
      </c>
      <c r="H63" s="43">
        <v>582328.65849834797</v>
      </c>
    </row>
    <row r="64" spans="1:8">
      <c r="A64" s="23" t="s">
        <v>25</v>
      </c>
      <c r="B64" s="23">
        <v>2021</v>
      </c>
      <c r="C64" s="23" t="s">
        <v>33</v>
      </c>
      <c r="D64" s="23" t="s">
        <v>40</v>
      </c>
      <c r="E64" s="24" t="s">
        <v>35</v>
      </c>
      <c r="F64" s="43">
        <v>2003135.8984916999</v>
      </c>
      <c r="G64" s="43">
        <v>2827956.5924497801</v>
      </c>
      <c r="H64" s="43">
        <v>825242.14175698103</v>
      </c>
    </row>
    <row r="65" spans="1:8">
      <c r="A65" s="23" t="s">
        <v>25</v>
      </c>
      <c r="B65" s="23">
        <v>2021</v>
      </c>
      <c r="C65" s="23" t="s">
        <v>33</v>
      </c>
      <c r="D65" s="23" t="s">
        <v>41</v>
      </c>
      <c r="E65" s="24" t="s">
        <v>35</v>
      </c>
      <c r="F65" s="43">
        <v>2113052.16398199</v>
      </c>
      <c r="G65" s="43">
        <v>2706392.66681136</v>
      </c>
      <c r="H65" s="43">
        <v>593238.857990894</v>
      </c>
    </row>
    <row r="66" spans="1:8">
      <c r="A66" s="7" t="s">
        <v>25</v>
      </c>
      <c r="B66" s="7">
        <v>2021</v>
      </c>
      <c r="C66" s="7" t="s">
        <v>33</v>
      </c>
      <c r="D66" s="7" t="s">
        <v>42</v>
      </c>
      <c r="E66" s="16" t="s">
        <v>35</v>
      </c>
      <c r="F66" s="44">
        <v>1143983.45067425</v>
      </c>
      <c r="G66" s="44">
        <v>1537018.43810878</v>
      </c>
      <c r="H66" s="44">
        <v>393028.45324619301</v>
      </c>
    </row>
    <row r="67" spans="1:8">
      <c r="A67" s="13" t="s">
        <v>25</v>
      </c>
      <c r="B67" s="13">
        <v>2021</v>
      </c>
      <c r="C67" s="13" t="s">
        <v>43</v>
      </c>
      <c r="D67" s="13" t="s">
        <v>34</v>
      </c>
      <c r="E67" s="27" t="s">
        <v>35</v>
      </c>
      <c r="F67" s="21">
        <v>2192051.1649102401</v>
      </c>
      <c r="G67" s="21">
        <v>2200238.5978569901</v>
      </c>
      <c r="H67" s="21">
        <v>6865.8300603674197</v>
      </c>
    </row>
    <row r="68" spans="1:8">
      <c r="A68" s="13" t="s">
        <v>25</v>
      </c>
      <c r="B68" s="13">
        <v>2021</v>
      </c>
      <c r="C68" s="13" t="s">
        <v>43</v>
      </c>
      <c r="D68" s="13" t="s">
        <v>36</v>
      </c>
      <c r="E68" s="27" t="s">
        <v>35</v>
      </c>
      <c r="F68" s="21">
        <v>564114.00194312399</v>
      </c>
      <c r="G68" s="21">
        <v>621661.426761618</v>
      </c>
      <c r="H68" s="21">
        <v>57163.231824869399</v>
      </c>
    </row>
    <row r="69" spans="1:8">
      <c r="A69" s="13" t="s">
        <v>25</v>
      </c>
      <c r="B69" s="13">
        <v>2021</v>
      </c>
      <c r="C69" s="13" t="s">
        <v>43</v>
      </c>
      <c r="D69" s="13" t="s">
        <v>37</v>
      </c>
      <c r="E69" s="27" t="s">
        <v>35</v>
      </c>
      <c r="F69" s="21">
        <v>815553.89482142101</v>
      </c>
      <c r="G69" s="21">
        <v>1016724.7484697599</v>
      </c>
      <c r="H69" s="21">
        <v>200946.69285242399</v>
      </c>
    </row>
    <row r="70" spans="1:8">
      <c r="A70" s="13" t="s">
        <v>25</v>
      </c>
      <c r="B70" s="13">
        <v>2021</v>
      </c>
      <c r="C70" s="13" t="s">
        <v>43</v>
      </c>
      <c r="D70" s="13" t="s">
        <v>38</v>
      </c>
      <c r="E70" s="27" t="s">
        <v>35</v>
      </c>
      <c r="F70" s="21">
        <v>1223149.81508691</v>
      </c>
      <c r="G70" s="21">
        <v>1650686.9448209901</v>
      </c>
      <c r="H70" s="21">
        <v>427559.38137690001</v>
      </c>
    </row>
    <row r="71" spans="1:8">
      <c r="A71" s="13" t="s">
        <v>25</v>
      </c>
      <c r="B71" s="13">
        <v>2021</v>
      </c>
      <c r="C71" s="13" t="s">
        <v>43</v>
      </c>
      <c r="D71" s="13" t="s">
        <v>39</v>
      </c>
      <c r="E71" s="27" t="s">
        <v>35</v>
      </c>
      <c r="F71" s="21">
        <v>2012716.5859510801</v>
      </c>
      <c r="G71" s="21">
        <v>2737522.4780253801</v>
      </c>
      <c r="H71" s="21">
        <v>725020.84239814198</v>
      </c>
    </row>
    <row r="72" spans="1:8">
      <c r="A72" s="13" t="s">
        <v>25</v>
      </c>
      <c r="B72" s="13">
        <v>2021</v>
      </c>
      <c r="C72" s="13" t="s">
        <v>43</v>
      </c>
      <c r="D72" s="13" t="s">
        <v>40</v>
      </c>
      <c r="E72" s="27" t="s">
        <v>35</v>
      </c>
      <c r="F72" s="21">
        <v>2455844.1164582302</v>
      </c>
      <c r="G72" s="21">
        <v>3350858.1474339799</v>
      </c>
      <c r="H72" s="21">
        <v>895343.92589548801</v>
      </c>
    </row>
    <row r="73" spans="1:8">
      <c r="A73" s="13" t="s">
        <v>25</v>
      </c>
      <c r="B73" s="13">
        <v>2021</v>
      </c>
      <c r="C73" s="13" t="s">
        <v>43</v>
      </c>
      <c r="D73" s="13" t="s">
        <v>41</v>
      </c>
      <c r="E73" s="27" t="s">
        <v>35</v>
      </c>
      <c r="F73" s="21">
        <v>1958991.91948819</v>
      </c>
      <c r="G73" s="21">
        <v>2546174.0761986002</v>
      </c>
      <c r="H73" s="21">
        <v>587147.39843962004</v>
      </c>
    </row>
    <row r="74" spans="1:8">
      <c r="A74" s="14" t="s">
        <v>25</v>
      </c>
      <c r="B74" s="14">
        <v>2021</v>
      </c>
      <c r="C74" s="14" t="s">
        <v>43</v>
      </c>
      <c r="D74" s="14" t="s">
        <v>42</v>
      </c>
      <c r="E74" s="28" t="s">
        <v>35</v>
      </c>
      <c r="F74" s="22">
        <v>793176.63566013705</v>
      </c>
      <c r="G74" s="22">
        <v>1083732.1569985901</v>
      </c>
      <c r="H74" s="22">
        <v>290523.02109096502</v>
      </c>
    </row>
    <row r="75" spans="1:8">
      <c r="A75" s="23" t="s">
        <v>26</v>
      </c>
      <c r="B75" s="23">
        <v>2020</v>
      </c>
      <c r="C75" s="23" t="s">
        <v>33</v>
      </c>
      <c r="D75" s="23" t="s">
        <v>34</v>
      </c>
      <c r="E75" s="24" t="s">
        <v>35</v>
      </c>
      <c r="F75" s="43">
        <v>267496.60917284503</v>
      </c>
      <c r="G75" s="43">
        <v>251196.10110642199</v>
      </c>
      <c r="H75" s="43">
        <v>-18377.161348637099</v>
      </c>
    </row>
    <row r="76" spans="1:8">
      <c r="A76" s="23" t="s">
        <v>26</v>
      </c>
      <c r="B76" s="23">
        <v>2020</v>
      </c>
      <c r="C76" s="23" t="s">
        <v>33</v>
      </c>
      <c r="D76" s="23" t="s">
        <v>36</v>
      </c>
      <c r="E76" s="24" t="s">
        <v>35</v>
      </c>
      <c r="F76" s="43">
        <v>141882.60437146001</v>
      </c>
      <c r="G76" s="43">
        <v>140612.19060242601</v>
      </c>
      <c r="H76" s="43">
        <v>-3340.5980884159098</v>
      </c>
    </row>
    <row r="77" spans="1:8">
      <c r="A77" s="23" t="s">
        <v>26</v>
      </c>
      <c r="B77" s="23">
        <v>2020</v>
      </c>
      <c r="C77" s="23" t="s">
        <v>33</v>
      </c>
      <c r="D77" s="23" t="s">
        <v>37</v>
      </c>
      <c r="E77" s="24" t="s">
        <v>35</v>
      </c>
      <c r="F77" s="43">
        <v>225319.58733748901</v>
      </c>
      <c r="G77" s="43">
        <v>238124.74426925401</v>
      </c>
      <c r="H77" s="43">
        <v>10737.152910520599</v>
      </c>
    </row>
    <row r="78" spans="1:8">
      <c r="A78" s="23" t="s">
        <v>26</v>
      </c>
      <c r="B78" s="23">
        <v>2020</v>
      </c>
      <c r="C78" s="23" t="s">
        <v>33</v>
      </c>
      <c r="D78" s="23" t="s">
        <v>38</v>
      </c>
      <c r="E78" s="24" t="s">
        <v>35</v>
      </c>
      <c r="F78" s="43">
        <v>472589.07399830897</v>
      </c>
      <c r="G78" s="43">
        <v>518629.38372426899</v>
      </c>
      <c r="H78" s="43">
        <v>43976.484541361198</v>
      </c>
    </row>
    <row r="79" spans="1:8">
      <c r="A79" s="23" t="s">
        <v>26</v>
      </c>
      <c r="B79" s="23">
        <v>2020</v>
      </c>
      <c r="C79" s="23" t="s">
        <v>33</v>
      </c>
      <c r="D79" s="23" t="s">
        <v>39</v>
      </c>
      <c r="E79" s="24" t="s">
        <v>35</v>
      </c>
      <c r="F79" s="43">
        <v>875589.67280883295</v>
      </c>
      <c r="G79" s="43">
        <v>961998.957164024</v>
      </c>
      <c r="H79" s="43">
        <v>84348.555202213494</v>
      </c>
    </row>
    <row r="80" spans="1:8">
      <c r="A80" s="23" t="s">
        <v>26</v>
      </c>
      <c r="B80" s="23">
        <v>2020</v>
      </c>
      <c r="C80" s="23" t="s">
        <v>33</v>
      </c>
      <c r="D80" s="23" t="s">
        <v>40</v>
      </c>
      <c r="E80" s="24" t="s">
        <v>35</v>
      </c>
      <c r="F80" s="43">
        <v>1586015.08157959</v>
      </c>
      <c r="G80" s="43">
        <v>1729465.06450545</v>
      </c>
      <c r="H80" s="43">
        <v>141390.90928697499</v>
      </c>
    </row>
    <row r="81" spans="1:8">
      <c r="A81" s="23" t="s">
        <v>26</v>
      </c>
      <c r="B81" s="23">
        <v>2020</v>
      </c>
      <c r="C81" s="23" t="s">
        <v>33</v>
      </c>
      <c r="D81" s="23" t="s">
        <v>41</v>
      </c>
      <c r="E81" s="24" t="s">
        <v>35</v>
      </c>
      <c r="F81" s="43">
        <v>2242877.0517487898</v>
      </c>
      <c r="G81" s="43">
        <v>2365458.7418548898</v>
      </c>
      <c r="H81" s="43">
        <v>120504.33027034</v>
      </c>
    </row>
    <row r="82" spans="1:8">
      <c r="A82" s="7" t="s">
        <v>26</v>
      </c>
      <c r="B82" s="7">
        <v>2020</v>
      </c>
      <c r="C82" s="7" t="s">
        <v>33</v>
      </c>
      <c r="D82" s="7" t="s">
        <v>42</v>
      </c>
      <c r="E82" s="16" t="s">
        <v>35</v>
      </c>
      <c r="F82" s="44">
        <v>2135053.0425050398</v>
      </c>
      <c r="G82" s="44">
        <v>2231326.3658783799</v>
      </c>
      <c r="H82" s="44">
        <v>94190.960236875006</v>
      </c>
    </row>
    <row r="83" spans="1:8">
      <c r="A83" s="13" t="s">
        <v>26</v>
      </c>
      <c r="B83" s="13">
        <v>2020</v>
      </c>
      <c r="C83" s="13" t="s">
        <v>43</v>
      </c>
      <c r="D83" s="13" t="s">
        <v>34</v>
      </c>
      <c r="E83" s="27" t="s">
        <v>35</v>
      </c>
      <c r="F83" s="21">
        <v>427369.78517900099</v>
      </c>
      <c r="G83" s="21">
        <v>410516.19798071298</v>
      </c>
      <c r="H83" s="21">
        <v>-18933.472641256802</v>
      </c>
    </row>
    <row r="84" spans="1:8">
      <c r="A84" s="13" t="s">
        <v>26</v>
      </c>
      <c r="B84" s="13">
        <v>2020</v>
      </c>
      <c r="C84" s="13" t="s">
        <v>43</v>
      </c>
      <c r="D84" s="13" t="s">
        <v>36</v>
      </c>
      <c r="E84" s="27" t="s">
        <v>35</v>
      </c>
      <c r="F84" s="21">
        <v>310865.76154096797</v>
      </c>
      <c r="G84" s="21">
        <v>322001.93129153602</v>
      </c>
      <c r="H84" s="21">
        <v>9066.0665885529997</v>
      </c>
    </row>
    <row r="85" spans="1:8">
      <c r="A85" s="13" t="s">
        <v>26</v>
      </c>
      <c r="B85" s="13">
        <v>2020</v>
      </c>
      <c r="C85" s="13" t="s">
        <v>43</v>
      </c>
      <c r="D85" s="13" t="s">
        <v>37</v>
      </c>
      <c r="E85" s="27" t="s">
        <v>35</v>
      </c>
      <c r="F85" s="21">
        <v>455187.81989149202</v>
      </c>
      <c r="G85" s="21">
        <v>500195.89815158001</v>
      </c>
      <c r="H85" s="21">
        <v>42944.310772097</v>
      </c>
    </row>
    <row r="86" spans="1:8">
      <c r="A86" s="13" t="s">
        <v>26</v>
      </c>
      <c r="B86" s="13">
        <v>2020</v>
      </c>
      <c r="C86" s="13" t="s">
        <v>43</v>
      </c>
      <c r="D86" s="13" t="s">
        <v>38</v>
      </c>
      <c r="E86" s="27" t="s">
        <v>35</v>
      </c>
      <c r="F86" s="21">
        <v>953755.36843640904</v>
      </c>
      <c r="G86" s="21">
        <v>1078208.3476309499</v>
      </c>
      <c r="H86" s="21">
        <v>122400.984716441</v>
      </c>
    </row>
    <row r="87" spans="1:8">
      <c r="A87" s="13" t="s">
        <v>26</v>
      </c>
      <c r="B87" s="13">
        <v>2020</v>
      </c>
      <c r="C87" s="13" t="s">
        <v>43</v>
      </c>
      <c r="D87" s="13" t="s">
        <v>39</v>
      </c>
      <c r="E87" s="27" t="s">
        <v>35</v>
      </c>
      <c r="F87" s="21">
        <v>1681446.52200188</v>
      </c>
      <c r="G87" s="21">
        <v>1861061.7397356699</v>
      </c>
      <c r="H87" s="21">
        <v>177564.04006801199</v>
      </c>
    </row>
    <row r="88" spans="1:8">
      <c r="A88" s="13" t="s">
        <v>26</v>
      </c>
      <c r="B88" s="13">
        <v>2020</v>
      </c>
      <c r="C88" s="13" t="s">
        <v>43</v>
      </c>
      <c r="D88" s="13" t="s">
        <v>40</v>
      </c>
      <c r="E88" s="27" t="s">
        <v>35</v>
      </c>
      <c r="F88" s="21">
        <v>2467068.68848895</v>
      </c>
      <c r="G88" s="21">
        <v>2710478.1275132098</v>
      </c>
      <c r="H88" s="21">
        <v>241360.28484163701</v>
      </c>
    </row>
    <row r="89" spans="1:8">
      <c r="A89" s="13" t="s">
        <v>26</v>
      </c>
      <c r="B89" s="13">
        <v>2020</v>
      </c>
      <c r="C89" s="13" t="s">
        <v>43</v>
      </c>
      <c r="D89" s="13" t="s">
        <v>41</v>
      </c>
      <c r="E89" s="27" t="s">
        <v>35</v>
      </c>
      <c r="F89" s="21">
        <v>2378336.1913405601</v>
      </c>
      <c r="G89" s="21">
        <v>2569133.6948382598</v>
      </c>
      <c r="H89" s="21">
        <v>188735.89635523601</v>
      </c>
    </row>
    <row r="90" spans="1:8">
      <c r="A90" s="14" t="s">
        <v>26</v>
      </c>
      <c r="B90" s="14">
        <v>2020</v>
      </c>
      <c r="C90" s="14" t="s">
        <v>43</v>
      </c>
      <c r="D90" s="14" t="s">
        <v>42</v>
      </c>
      <c r="E90" s="28" t="s">
        <v>35</v>
      </c>
      <c r="F90" s="22">
        <v>1335314.8798084599</v>
      </c>
      <c r="G90" s="22">
        <v>1458952.69175297</v>
      </c>
      <c r="H90" s="22">
        <v>121578.239377889</v>
      </c>
    </row>
    <row r="91" spans="1:8">
      <c r="A91" s="23" t="s">
        <v>26</v>
      </c>
      <c r="B91" s="23">
        <v>2021</v>
      </c>
      <c r="C91" s="23" t="s">
        <v>33</v>
      </c>
      <c r="D91" s="23" t="s">
        <v>34</v>
      </c>
      <c r="E91" s="24" t="s">
        <v>35</v>
      </c>
      <c r="F91" s="43">
        <v>251865.471985421</v>
      </c>
      <c r="G91" s="43">
        <v>249817.22572888399</v>
      </c>
      <c r="H91" s="43">
        <v>-3420.6027228080202</v>
      </c>
    </row>
    <row r="92" spans="1:8">
      <c r="A92" s="23" t="s">
        <v>26</v>
      </c>
      <c r="B92" s="23">
        <v>2021</v>
      </c>
      <c r="C92" s="23" t="s">
        <v>33</v>
      </c>
      <c r="D92" s="23" t="s">
        <v>36</v>
      </c>
      <c r="E92" s="24" t="s">
        <v>35</v>
      </c>
      <c r="F92" s="43">
        <v>137120.45530950601</v>
      </c>
      <c r="G92" s="43">
        <v>151484.62370286501</v>
      </c>
      <c r="H92" s="43">
        <v>13062.9045031158</v>
      </c>
    </row>
    <row r="93" spans="1:8">
      <c r="A93" s="23" t="s">
        <v>26</v>
      </c>
      <c r="B93" s="23">
        <v>2021</v>
      </c>
      <c r="C93" s="23" t="s">
        <v>33</v>
      </c>
      <c r="D93" s="23" t="s">
        <v>37</v>
      </c>
      <c r="E93" s="24" t="s">
        <v>35</v>
      </c>
      <c r="F93" s="43">
        <v>223125.813636476</v>
      </c>
      <c r="G93" s="43">
        <v>274517.17348712799</v>
      </c>
      <c r="H93" s="43">
        <v>50139.8895117176</v>
      </c>
    </row>
    <row r="94" spans="1:8">
      <c r="A94" s="23" t="s">
        <v>26</v>
      </c>
      <c r="B94" s="23">
        <v>2021</v>
      </c>
      <c r="C94" s="23" t="s">
        <v>33</v>
      </c>
      <c r="D94" s="23" t="s">
        <v>38</v>
      </c>
      <c r="E94" s="24" t="s">
        <v>35</v>
      </c>
      <c r="F94" s="43">
        <v>460599.29957234301</v>
      </c>
      <c r="G94" s="43">
        <v>591636.69651069003</v>
      </c>
      <c r="H94" s="43">
        <v>129876.205684607</v>
      </c>
    </row>
    <row r="95" spans="1:8">
      <c r="A95" s="23" t="s">
        <v>26</v>
      </c>
      <c r="B95" s="23">
        <v>2021</v>
      </c>
      <c r="C95" s="23" t="s">
        <v>33</v>
      </c>
      <c r="D95" s="23" t="s">
        <v>39</v>
      </c>
      <c r="E95" s="24" t="s">
        <v>35</v>
      </c>
      <c r="F95" s="43">
        <v>872772.26113797398</v>
      </c>
      <c r="G95" s="43">
        <v>1110796.6012803901</v>
      </c>
      <c r="H95" s="43">
        <v>236954.53818444701</v>
      </c>
    </row>
    <row r="96" spans="1:8">
      <c r="A96" s="23" t="s">
        <v>26</v>
      </c>
      <c r="B96" s="23">
        <v>2021</v>
      </c>
      <c r="C96" s="23" t="s">
        <v>33</v>
      </c>
      <c r="D96" s="23" t="s">
        <v>40</v>
      </c>
      <c r="E96" s="24" t="s">
        <v>35</v>
      </c>
      <c r="F96" s="43">
        <v>1627232.6125842801</v>
      </c>
      <c r="G96" s="43">
        <v>1946281.4525512899</v>
      </c>
      <c r="H96" s="43">
        <v>317906.41026167001</v>
      </c>
    </row>
    <row r="97" spans="1:8">
      <c r="A97" s="23" t="s">
        <v>26</v>
      </c>
      <c r="B97" s="23">
        <v>2021</v>
      </c>
      <c r="C97" s="23" t="s">
        <v>33</v>
      </c>
      <c r="D97" s="23" t="s">
        <v>41</v>
      </c>
      <c r="E97" s="24" t="s">
        <v>35</v>
      </c>
      <c r="F97" s="43">
        <v>2227660.9687329298</v>
      </c>
      <c r="G97" s="43">
        <v>2485447.3661347502</v>
      </c>
      <c r="H97" s="43">
        <v>256323.405490465</v>
      </c>
    </row>
    <row r="98" spans="1:8">
      <c r="A98" s="7" t="s">
        <v>26</v>
      </c>
      <c r="B98" s="7">
        <v>2021</v>
      </c>
      <c r="C98" s="7" t="s">
        <v>33</v>
      </c>
      <c r="D98" s="7" t="s">
        <v>42</v>
      </c>
      <c r="E98" s="16" t="s">
        <v>35</v>
      </c>
      <c r="F98" s="44">
        <v>2177341.62062009</v>
      </c>
      <c r="G98" s="44">
        <v>2597774.70333046</v>
      </c>
      <c r="H98" s="44">
        <v>419326.10130920197</v>
      </c>
    </row>
    <row r="99" spans="1:8">
      <c r="A99" s="13" t="s">
        <v>26</v>
      </c>
      <c r="B99" s="13">
        <v>2021</v>
      </c>
      <c r="C99" s="13" t="s">
        <v>43</v>
      </c>
      <c r="D99" s="13" t="s">
        <v>34</v>
      </c>
      <c r="E99" s="27" t="s">
        <v>35</v>
      </c>
      <c r="F99" s="21">
        <v>403582.897989291</v>
      </c>
      <c r="G99" s="21">
        <v>402384.294850912</v>
      </c>
      <c r="H99" s="21">
        <v>-2617.8368903945302</v>
      </c>
    </row>
    <row r="100" spans="1:8">
      <c r="A100" s="13" t="s">
        <v>26</v>
      </c>
      <c r="B100" s="13">
        <v>2021</v>
      </c>
      <c r="C100" s="13" t="s">
        <v>43</v>
      </c>
      <c r="D100" s="13" t="s">
        <v>36</v>
      </c>
      <c r="E100" s="27" t="s">
        <v>35</v>
      </c>
      <c r="F100" s="21">
        <v>302436.988805865</v>
      </c>
      <c r="G100" s="21">
        <v>330903.10723114602</v>
      </c>
      <c r="H100" s="21">
        <v>27141.308926821501</v>
      </c>
    </row>
    <row r="101" spans="1:8">
      <c r="A101" s="13" t="s">
        <v>26</v>
      </c>
      <c r="B101" s="13">
        <v>2021</v>
      </c>
      <c r="C101" s="13" t="s">
        <v>43</v>
      </c>
      <c r="D101" s="13" t="s">
        <v>37</v>
      </c>
      <c r="E101" s="27" t="s">
        <v>35</v>
      </c>
      <c r="F101" s="21">
        <v>450724.51046019199</v>
      </c>
      <c r="G101" s="21">
        <v>543447.67903204297</v>
      </c>
      <c r="H101" s="21">
        <v>91485.080765753199</v>
      </c>
    </row>
    <row r="102" spans="1:8">
      <c r="A102" s="13" t="s">
        <v>26</v>
      </c>
      <c r="B102" s="13">
        <v>2021</v>
      </c>
      <c r="C102" s="13" t="s">
        <v>43</v>
      </c>
      <c r="D102" s="13" t="s">
        <v>38</v>
      </c>
      <c r="E102" s="27" t="s">
        <v>35</v>
      </c>
      <c r="F102" s="21">
        <v>935327.84735630301</v>
      </c>
      <c r="G102" s="21">
        <v>1149199.46318422</v>
      </c>
      <c r="H102" s="21">
        <v>212731.28288666901</v>
      </c>
    </row>
    <row r="103" spans="1:8">
      <c r="A103" s="13" t="s">
        <v>26</v>
      </c>
      <c r="B103" s="13">
        <v>2021</v>
      </c>
      <c r="C103" s="13" t="s">
        <v>43</v>
      </c>
      <c r="D103" s="13" t="s">
        <v>39</v>
      </c>
      <c r="E103" s="27" t="s">
        <v>35</v>
      </c>
      <c r="F103" s="21">
        <v>1680140.7416272</v>
      </c>
      <c r="G103" s="21">
        <v>1964494.3291577301</v>
      </c>
      <c r="H103" s="21">
        <v>283121.69042947399</v>
      </c>
    </row>
    <row r="104" spans="1:8">
      <c r="A104" s="13" t="s">
        <v>26</v>
      </c>
      <c r="B104" s="13">
        <v>2021</v>
      </c>
      <c r="C104" s="13" t="s">
        <v>43</v>
      </c>
      <c r="D104" s="13" t="s">
        <v>40</v>
      </c>
      <c r="E104" s="27" t="s">
        <v>35</v>
      </c>
      <c r="F104" s="21">
        <v>2544904.13125906</v>
      </c>
      <c r="G104" s="21">
        <v>2882830.55793487</v>
      </c>
      <c r="H104" s="21">
        <v>336529.165581254</v>
      </c>
    </row>
    <row r="105" spans="1:8">
      <c r="A105" s="13" t="s">
        <v>26</v>
      </c>
      <c r="B105" s="13">
        <v>2021</v>
      </c>
      <c r="C105" s="13" t="s">
        <v>43</v>
      </c>
      <c r="D105" s="13" t="s">
        <v>41</v>
      </c>
      <c r="E105" s="27" t="s">
        <v>35</v>
      </c>
      <c r="F105" s="21">
        <v>2397438.8097748002</v>
      </c>
      <c r="G105" s="21">
        <v>2586279.2955995402</v>
      </c>
      <c r="H105" s="21">
        <v>187178.97696634301</v>
      </c>
    </row>
    <row r="106" spans="1:8">
      <c r="A106" s="14" t="s">
        <v>26</v>
      </c>
      <c r="B106" s="14">
        <v>2021</v>
      </c>
      <c r="C106" s="14" t="s">
        <v>43</v>
      </c>
      <c r="D106" s="14" t="s">
        <v>42</v>
      </c>
      <c r="E106" s="28" t="s">
        <v>35</v>
      </c>
      <c r="F106" s="22">
        <v>1373799.6570949</v>
      </c>
      <c r="G106" s="22">
        <v>1559984.27728311</v>
      </c>
      <c r="H106" s="22">
        <v>184845.82208203999</v>
      </c>
    </row>
    <row r="107" spans="1:8">
      <c r="A107" s="23" t="s">
        <v>27</v>
      </c>
      <c r="B107" s="23">
        <v>2020</v>
      </c>
      <c r="C107" s="23" t="s">
        <v>33</v>
      </c>
      <c r="D107" s="23" t="s">
        <v>34</v>
      </c>
      <c r="E107" s="24" t="s">
        <v>35</v>
      </c>
      <c r="F107" s="43">
        <v>59705.3579695523</v>
      </c>
      <c r="G107" s="43">
        <v>58531.205269964397</v>
      </c>
      <c r="H107" s="43">
        <v>-1632.2364772103799</v>
      </c>
    </row>
    <row r="108" spans="1:8">
      <c r="A108" s="23" t="s">
        <v>27</v>
      </c>
      <c r="B108" s="23">
        <v>2020</v>
      </c>
      <c r="C108" s="23" t="s">
        <v>33</v>
      </c>
      <c r="D108" s="23" t="s">
        <v>36</v>
      </c>
      <c r="E108" s="24" t="s">
        <v>35</v>
      </c>
      <c r="F108" s="43">
        <v>38911.918756904801</v>
      </c>
      <c r="G108" s="43">
        <v>42419.717957847002</v>
      </c>
      <c r="H108" s="43">
        <v>3052.0814632455999</v>
      </c>
    </row>
    <row r="109" spans="1:8">
      <c r="A109" s="23" t="s">
        <v>27</v>
      </c>
      <c r="B109" s="23">
        <v>2020</v>
      </c>
      <c r="C109" s="23" t="s">
        <v>33</v>
      </c>
      <c r="D109" s="23" t="s">
        <v>37</v>
      </c>
      <c r="E109" s="24" t="s">
        <v>35</v>
      </c>
      <c r="F109" s="43">
        <v>76522.567090260796</v>
      </c>
      <c r="G109" s="43">
        <v>84455.174880487597</v>
      </c>
      <c r="H109" s="43">
        <v>7477.1474721936802</v>
      </c>
    </row>
    <row r="110" spans="1:8">
      <c r="A110" s="23" t="s">
        <v>27</v>
      </c>
      <c r="B110" s="23">
        <v>2020</v>
      </c>
      <c r="C110" s="23" t="s">
        <v>33</v>
      </c>
      <c r="D110" s="23" t="s">
        <v>38</v>
      </c>
      <c r="E110" s="24" t="s">
        <v>35</v>
      </c>
      <c r="F110" s="43">
        <v>178411.31667843199</v>
      </c>
      <c r="G110" s="43">
        <v>190119.572785164</v>
      </c>
      <c r="H110" s="43">
        <v>11250.6036668406</v>
      </c>
    </row>
    <row r="111" spans="1:8">
      <c r="A111" s="23" t="s">
        <v>27</v>
      </c>
      <c r="B111" s="23">
        <v>2020</v>
      </c>
      <c r="C111" s="23" t="s">
        <v>33</v>
      </c>
      <c r="D111" s="23" t="s">
        <v>39</v>
      </c>
      <c r="E111" s="24" t="s">
        <v>35</v>
      </c>
      <c r="F111" s="43">
        <v>403375.73715641402</v>
      </c>
      <c r="G111" s="43">
        <v>429427.24808335601</v>
      </c>
      <c r="H111" s="43">
        <v>25591.132154472001</v>
      </c>
    </row>
    <row r="112" spans="1:8">
      <c r="A112" s="23" t="s">
        <v>27</v>
      </c>
      <c r="B112" s="23">
        <v>2020</v>
      </c>
      <c r="C112" s="23" t="s">
        <v>33</v>
      </c>
      <c r="D112" s="23" t="s">
        <v>40</v>
      </c>
      <c r="E112" s="24" t="s">
        <v>35</v>
      </c>
      <c r="F112" s="43">
        <v>749981.49777773605</v>
      </c>
      <c r="G112" s="43">
        <v>812529.79339459597</v>
      </c>
      <c r="H112" s="43">
        <v>62088.782827921103</v>
      </c>
    </row>
    <row r="113" spans="1:8">
      <c r="A113" s="23" t="s">
        <v>27</v>
      </c>
      <c r="B113" s="23">
        <v>2020</v>
      </c>
      <c r="C113" s="23" t="s">
        <v>33</v>
      </c>
      <c r="D113" s="23" t="s">
        <v>41</v>
      </c>
      <c r="E113" s="24" t="s">
        <v>35</v>
      </c>
      <c r="F113" s="43">
        <v>1362850.6745764001</v>
      </c>
      <c r="G113" s="43">
        <v>1482196.5598631699</v>
      </c>
      <c r="H113" s="43">
        <v>118885.181474365</v>
      </c>
    </row>
    <row r="114" spans="1:8">
      <c r="A114" s="7" t="s">
        <v>27</v>
      </c>
      <c r="B114" s="7">
        <v>2020</v>
      </c>
      <c r="C114" s="7" t="s">
        <v>33</v>
      </c>
      <c r="D114" s="7" t="s">
        <v>42</v>
      </c>
      <c r="E114" s="16" t="s">
        <v>35</v>
      </c>
      <c r="F114" s="44">
        <v>2540201.8873218899</v>
      </c>
      <c r="G114" s="44">
        <v>2758533.2916794801</v>
      </c>
      <c r="H114" s="44">
        <v>217864.84951510999</v>
      </c>
    </row>
    <row r="115" spans="1:8">
      <c r="A115" s="13" t="s">
        <v>27</v>
      </c>
      <c r="B115" s="13">
        <v>2020</v>
      </c>
      <c r="C115" s="13" t="s">
        <v>43</v>
      </c>
      <c r="D115" s="13" t="s">
        <v>34</v>
      </c>
      <c r="E115" s="27" t="s">
        <v>35</v>
      </c>
      <c r="F115" s="21">
        <v>101766.625895477</v>
      </c>
      <c r="G115" s="21">
        <v>103075.572622319</v>
      </c>
      <c r="H115" s="21">
        <v>850.28331223554301</v>
      </c>
    </row>
    <row r="116" spans="1:8">
      <c r="A116" s="13" t="s">
        <v>27</v>
      </c>
      <c r="B116" s="13">
        <v>2020</v>
      </c>
      <c r="C116" s="13" t="s">
        <v>43</v>
      </c>
      <c r="D116" s="13" t="s">
        <v>36</v>
      </c>
      <c r="E116" s="27" t="s">
        <v>35</v>
      </c>
      <c r="F116" s="21">
        <v>93654.903576851502</v>
      </c>
      <c r="G116" s="21">
        <v>103617.33098992299</v>
      </c>
      <c r="H116" s="21">
        <v>9507.0893647982994</v>
      </c>
    </row>
    <row r="117" spans="1:8">
      <c r="A117" s="13" t="s">
        <v>27</v>
      </c>
      <c r="B117" s="13">
        <v>2020</v>
      </c>
      <c r="C117" s="13" t="s">
        <v>43</v>
      </c>
      <c r="D117" s="13" t="s">
        <v>37</v>
      </c>
      <c r="E117" s="27" t="s">
        <v>35</v>
      </c>
      <c r="F117" s="21">
        <v>147565.48275444799</v>
      </c>
      <c r="G117" s="21">
        <v>168675.24706855099</v>
      </c>
      <c r="H117" s="21">
        <v>20656.486033358</v>
      </c>
    </row>
    <row r="118" spans="1:8">
      <c r="A118" s="13" t="s">
        <v>27</v>
      </c>
      <c r="B118" s="13">
        <v>2020</v>
      </c>
      <c r="C118" s="13" t="s">
        <v>43</v>
      </c>
      <c r="D118" s="13" t="s">
        <v>38</v>
      </c>
      <c r="E118" s="27" t="s">
        <v>35</v>
      </c>
      <c r="F118" s="21">
        <v>324191.76437341899</v>
      </c>
      <c r="G118" s="21">
        <v>357713.20675217698</v>
      </c>
      <c r="H118" s="21">
        <v>33066.428372651098</v>
      </c>
    </row>
    <row r="119" spans="1:8">
      <c r="A119" s="13" t="s">
        <v>27</v>
      </c>
      <c r="B119" s="13">
        <v>2020</v>
      </c>
      <c r="C119" s="13" t="s">
        <v>43</v>
      </c>
      <c r="D119" s="13" t="s">
        <v>39</v>
      </c>
      <c r="E119" s="27" t="s">
        <v>35</v>
      </c>
      <c r="F119" s="21">
        <v>721977.94419027795</v>
      </c>
      <c r="G119" s="21">
        <v>785228.30882746901</v>
      </c>
      <c r="H119" s="21">
        <v>62792.066552607299</v>
      </c>
    </row>
    <row r="120" spans="1:8">
      <c r="A120" s="13" t="s">
        <v>27</v>
      </c>
      <c r="B120" s="13">
        <v>2020</v>
      </c>
      <c r="C120" s="13" t="s">
        <v>43</v>
      </c>
      <c r="D120" s="13" t="s">
        <v>40</v>
      </c>
      <c r="E120" s="27" t="s">
        <v>35</v>
      </c>
      <c r="F120" s="21">
        <v>1177566.6907170501</v>
      </c>
      <c r="G120" s="21">
        <v>1304717.10291589</v>
      </c>
      <c r="H120" s="21">
        <v>126698.857144776</v>
      </c>
    </row>
    <row r="121" spans="1:8">
      <c r="A121" s="13" t="s">
        <v>27</v>
      </c>
      <c r="B121" s="13">
        <v>2020</v>
      </c>
      <c r="C121" s="13" t="s">
        <v>43</v>
      </c>
      <c r="D121" s="13" t="s">
        <v>41</v>
      </c>
      <c r="E121" s="27" t="s">
        <v>35</v>
      </c>
      <c r="F121" s="21">
        <v>1567336.7095675899</v>
      </c>
      <c r="G121" s="21">
        <v>1746416.86142025</v>
      </c>
      <c r="H121" s="21">
        <v>178633.40194899001</v>
      </c>
    </row>
    <row r="122" spans="1:8">
      <c r="A122" s="14" t="s">
        <v>27</v>
      </c>
      <c r="B122" s="14">
        <v>2020</v>
      </c>
      <c r="C122" s="14" t="s">
        <v>43</v>
      </c>
      <c r="D122" s="14" t="s">
        <v>42</v>
      </c>
      <c r="E122" s="28" t="s">
        <v>35</v>
      </c>
      <c r="F122" s="22">
        <v>1481706.2618931399</v>
      </c>
      <c r="G122" s="22">
        <v>1688772.8484893499</v>
      </c>
      <c r="H122" s="22">
        <v>206632.643755442</v>
      </c>
    </row>
    <row r="123" spans="1:8">
      <c r="A123" s="25" t="s">
        <v>27</v>
      </c>
      <c r="B123" s="25">
        <v>2021</v>
      </c>
      <c r="C123" s="25" t="s">
        <v>33</v>
      </c>
      <c r="D123" s="25" t="s">
        <v>34</v>
      </c>
      <c r="E123" s="26" t="s">
        <v>35</v>
      </c>
      <c r="F123" s="45">
        <v>58301.335731580002</v>
      </c>
      <c r="G123" s="45">
        <v>60555.103049286001</v>
      </c>
      <c r="H123" s="45">
        <v>2102.3968652762801</v>
      </c>
    </row>
    <row r="124" spans="1:8">
      <c r="A124" s="25" t="s">
        <v>27</v>
      </c>
      <c r="B124" s="25">
        <v>2021</v>
      </c>
      <c r="C124" s="25" t="s">
        <v>33</v>
      </c>
      <c r="D124" s="25" t="s">
        <v>36</v>
      </c>
      <c r="E124" s="26" t="s">
        <v>35</v>
      </c>
      <c r="F124" s="45">
        <v>38452.412411024801</v>
      </c>
      <c r="G124" s="45">
        <v>44541.355558785297</v>
      </c>
      <c r="H124" s="45">
        <v>5941.5379191974898</v>
      </c>
    </row>
    <row r="125" spans="1:8">
      <c r="A125" s="25" t="s">
        <v>27</v>
      </c>
      <c r="B125" s="25">
        <v>2021</v>
      </c>
      <c r="C125" s="25" t="s">
        <v>33</v>
      </c>
      <c r="D125" s="25" t="s">
        <v>37</v>
      </c>
      <c r="E125" s="26" t="s">
        <v>35</v>
      </c>
      <c r="F125" s="45">
        <v>75951.999660205096</v>
      </c>
      <c r="G125" s="45">
        <v>87919.946313317196</v>
      </c>
      <c r="H125" s="45">
        <v>11821.5698887241</v>
      </c>
    </row>
    <row r="126" spans="1:8">
      <c r="A126" s="25" t="s">
        <v>27</v>
      </c>
      <c r="B126" s="25">
        <v>2021</v>
      </c>
      <c r="C126" s="25" t="s">
        <v>33</v>
      </c>
      <c r="D126" s="25" t="s">
        <v>38</v>
      </c>
      <c r="E126" s="26" t="s">
        <v>35</v>
      </c>
      <c r="F126" s="45">
        <v>176846.694981056</v>
      </c>
      <c r="G126" s="45">
        <v>205541.17417648601</v>
      </c>
      <c r="H126" s="45">
        <v>28551.459480925401</v>
      </c>
    </row>
    <row r="127" spans="1:8">
      <c r="A127" s="25" t="s">
        <v>27</v>
      </c>
      <c r="B127" s="25">
        <v>2021</v>
      </c>
      <c r="C127" s="25" t="s">
        <v>33</v>
      </c>
      <c r="D127" s="25" t="s">
        <v>39</v>
      </c>
      <c r="E127" s="26" t="s">
        <v>35</v>
      </c>
      <c r="F127" s="45">
        <v>402935.53476661799</v>
      </c>
      <c r="G127" s="45">
        <v>469458.31927563198</v>
      </c>
      <c r="H127" s="45">
        <v>66387.512545916907</v>
      </c>
    </row>
    <row r="128" spans="1:8">
      <c r="A128" s="25" t="s">
        <v>27</v>
      </c>
      <c r="B128" s="25">
        <v>2021</v>
      </c>
      <c r="C128" s="25" t="s">
        <v>33</v>
      </c>
      <c r="D128" s="25" t="s">
        <v>40</v>
      </c>
      <c r="E128" s="26" t="s">
        <v>35</v>
      </c>
      <c r="F128" s="45">
        <v>762804.19446792302</v>
      </c>
      <c r="G128" s="45">
        <v>878014.13214737899</v>
      </c>
      <c r="H128" s="45">
        <v>115079.51674345499</v>
      </c>
    </row>
    <row r="129" spans="1:10">
      <c r="A129" s="25" t="s">
        <v>27</v>
      </c>
      <c r="B129" s="25">
        <v>2021</v>
      </c>
      <c r="C129" s="25" t="s">
        <v>33</v>
      </c>
      <c r="D129" s="25" t="s">
        <v>41</v>
      </c>
      <c r="E129" s="26" t="s">
        <v>35</v>
      </c>
      <c r="F129" s="45">
        <v>1363451.2812639</v>
      </c>
      <c r="G129" s="45">
        <v>1502541.31706177</v>
      </c>
      <c r="H129" s="45">
        <v>138930.46218204201</v>
      </c>
    </row>
    <row r="130" spans="1:10">
      <c r="A130" s="29" t="s">
        <v>27</v>
      </c>
      <c r="B130" s="29">
        <v>2021</v>
      </c>
      <c r="C130" s="29" t="s">
        <v>33</v>
      </c>
      <c r="D130" s="29" t="s">
        <v>42</v>
      </c>
      <c r="E130" s="30" t="s">
        <v>35</v>
      </c>
      <c r="F130" s="46">
        <v>2575740.6107415101</v>
      </c>
      <c r="G130" s="46">
        <v>2719575.64588502</v>
      </c>
      <c r="H130" s="46">
        <v>143588.41568247299</v>
      </c>
    </row>
    <row r="131" spans="1:10">
      <c r="A131" s="47" t="s">
        <v>27</v>
      </c>
      <c r="B131" s="47">
        <v>2021</v>
      </c>
      <c r="C131" s="47" t="s">
        <v>43</v>
      </c>
      <c r="D131" s="47" t="s">
        <v>34</v>
      </c>
      <c r="E131" s="48" t="s">
        <v>35</v>
      </c>
      <c r="F131" s="49">
        <v>98727.125350695598</v>
      </c>
      <c r="G131" s="49">
        <v>105586.828661222</v>
      </c>
      <c r="H131" s="49">
        <v>6708.3173732726</v>
      </c>
    </row>
    <row r="132" spans="1:10">
      <c r="A132" s="47" t="s">
        <v>27</v>
      </c>
      <c r="B132" s="47">
        <v>2021</v>
      </c>
      <c r="C132" s="47" t="s">
        <v>43</v>
      </c>
      <c r="D132" s="47" t="s">
        <v>36</v>
      </c>
      <c r="E132" s="48" t="s">
        <v>35</v>
      </c>
      <c r="F132" s="49">
        <v>91976.442184264495</v>
      </c>
      <c r="G132" s="49">
        <v>107403.742633979</v>
      </c>
      <c r="H132" s="49">
        <v>15281.9779889441</v>
      </c>
    </row>
    <row r="133" spans="1:10">
      <c r="A133" s="47" t="s">
        <v>27</v>
      </c>
      <c r="B133" s="47">
        <v>2021</v>
      </c>
      <c r="C133" s="47" t="s">
        <v>43</v>
      </c>
      <c r="D133" s="47" t="s">
        <v>37</v>
      </c>
      <c r="E133" s="48" t="s">
        <v>35</v>
      </c>
      <c r="F133" s="49">
        <v>146354.53899453301</v>
      </c>
      <c r="G133" s="49">
        <v>172856.29639169399</v>
      </c>
      <c r="H133" s="49">
        <v>26359.581188714699</v>
      </c>
    </row>
    <row r="134" spans="1:10">
      <c r="A134" s="47" t="s">
        <v>27</v>
      </c>
      <c r="B134" s="47">
        <v>2021</v>
      </c>
      <c r="C134" s="47" t="s">
        <v>43</v>
      </c>
      <c r="D134" s="47" t="s">
        <v>38</v>
      </c>
      <c r="E134" s="48" t="s">
        <v>35</v>
      </c>
      <c r="F134" s="49">
        <v>321361.77617837</v>
      </c>
      <c r="G134" s="49">
        <v>379888.33514646598</v>
      </c>
      <c r="H134" s="49">
        <v>58392.160793939503</v>
      </c>
    </row>
    <row r="135" spans="1:10">
      <c r="A135" s="47" t="s">
        <v>27</v>
      </c>
      <c r="B135" s="47">
        <v>2021</v>
      </c>
      <c r="C135" s="47" t="s">
        <v>43</v>
      </c>
      <c r="D135" s="47" t="s">
        <v>39</v>
      </c>
      <c r="E135" s="48" t="s">
        <v>35</v>
      </c>
      <c r="F135" s="49">
        <v>722645.99305896799</v>
      </c>
      <c r="G135" s="49">
        <v>856990.51869665901</v>
      </c>
      <c r="H135" s="49">
        <v>134229.51131632199</v>
      </c>
    </row>
    <row r="136" spans="1:10">
      <c r="A136" s="47" t="s">
        <v>27</v>
      </c>
      <c r="B136" s="47">
        <v>2021</v>
      </c>
      <c r="C136" s="47" t="s">
        <v>43</v>
      </c>
      <c r="D136" s="47" t="s">
        <v>40</v>
      </c>
      <c r="E136" s="48" t="s">
        <v>35</v>
      </c>
      <c r="F136" s="49">
        <v>1197521.0808087301</v>
      </c>
      <c r="G136" s="49">
        <v>1382126.37933487</v>
      </c>
      <c r="H136" s="49">
        <v>184487.60673840001</v>
      </c>
    </row>
    <row r="137" spans="1:10">
      <c r="A137" s="47" t="s">
        <v>27</v>
      </c>
      <c r="B137" s="47">
        <v>2021</v>
      </c>
      <c r="C137" s="47" t="s">
        <v>43</v>
      </c>
      <c r="D137" s="47" t="s">
        <v>41</v>
      </c>
      <c r="E137" s="48" t="s">
        <v>35</v>
      </c>
      <c r="F137" s="49">
        <v>1579402.0263852701</v>
      </c>
      <c r="G137" s="49">
        <v>1753755.85679029</v>
      </c>
      <c r="H137" s="49">
        <v>174201.09350649099</v>
      </c>
    </row>
    <row r="138" spans="1:10">
      <c r="A138" s="50" t="s">
        <v>27</v>
      </c>
      <c r="B138" s="50">
        <v>2021</v>
      </c>
      <c r="C138" s="50" t="s">
        <v>43</v>
      </c>
      <c r="D138" s="50" t="s">
        <v>42</v>
      </c>
      <c r="E138" s="51" t="s">
        <v>35</v>
      </c>
      <c r="F138" s="52">
        <v>1522434.1525039</v>
      </c>
      <c r="G138" s="52">
        <v>1686031.01887715</v>
      </c>
      <c r="H138" s="52">
        <v>163441.38185460199</v>
      </c>
    </row>
    <row r="140" spans="1:10" customFormat="1" ht="15" customHeight="1">
      <c r="A140" s="74" t="s">
        <v>51</v>
      </c>
      <c r="B140" s="74"/>
      <c r="C140" s="74"/>
      <c r="D140" s="74"/>
      <c r="E140" s="74"/>
      <c r="F140" s="74"/>
      <c r="G140" s="74"/>
      <c r="H140" s="74"/>
      <c r="I140" s="74"/>
      <c r="J140" s="57"/>
    </row>
    <row r="141" spans="1:10" customFormat="1">
      <c r="A141" s="74"/>
      <c r="B141" s="74"/>
      <c r="C141" s="74"/>
      <c r="D141" s="74"/>
      <c r="E141" s="74"/>
      <c r="F141" s="74"/>
      <c r="G141" s="74"/>
      <c r="H141" s="74"/>
      <c r="I141" s="74"/>
      <c r="J141" s="57"/>
    </row>
    <row r="142" spans="1:10" customFormat="1">
      <c r="A142" s="74"/>
      <c r="B142" s="74"/>
      <c r="C142" s="74"/>
      <c r="D142" s="74"/>
      <c r="E142" s="74"/>
      <c r="F142" s="74"/>
      <c r="G142" s="74"/>
      <c r="H142" s="74"/>
      <c r="I142" s="74"/>
      <c r="J142" s="57"/>
    </row>
    <row r="143" spans="1:10" customFormat="1">
      <c r="A143" s="74"/>
      <c r="B143" s="74"/>
      <c r="C143" s="74"/>
      <c r="D143" s="74"/>
      <c r="E143" s="74"/>
      <c r="F143" s="74"/>
      <c r="G143" s="74"/>
      <c r="H143" s="74"/>
      <c r="I143" s="74"/>
    </row>
  </sheetData>
  <mergeCells count="1">
    <mergeCell ref="A140:I143"/>
  </mergeCells>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38325-8B31-48C3-AF2F-9CF92678BB1A}">
  <sheetPr codeName="Sheet5"/>
  <dimension ref="A1:H129"/>
  <sheetViews>
    <sheetView workbookViewId="0">
      <selection activeCell="D6" sqref="D6"/>
    </sheetView>
  </sheetViews>
  <sheetFormatPr defaultRowHeight="14.4"/>
  <cols>
    <col min="3" max="3" width="6.88671875" bestFit="1" customWidth="1"/>
    <col min="4" max="4" width="10" bestFit="1" customWidth="1"/>
    <col min="5" max="5" width="8.6640625" bestFit="1" customWidth="1"/>
    <col min="6" max="6" width="14.109375" bestFit="1" customWidth="1"/>
    <col min="7" max="7" width="9.88671875" bestFit="1" customWidth="1"/>
    <col min="8" max="8" width="12.6640625" bestFit="1" customWidth="1"/>
  </cols>
  <sheetData>
    <row r="1" spans="1:8">
      <c r="A1" s="31" t="s">
        <v>14</v>
      </c>
      <c r="B1" s="32" t="s">
        <v>6</v>
      </c>
      <c r="C1" s="32" t="s">
        <v>15</v>
      </c>
      <c r="D1" s="32" t="s">
        <v>31</v>
      </c>
      <c r="E1" s="32" t="s">
        <v>8</v>
      </c>
      <c r="F1" s="32" t="s">
        <v>10</v>
      </c>
      <c r="G1" s="32" t="s">
        <v>23</v>
      </c>
      <c r="H1" s="32" t="s">
        <v>48</v>
      </c>
    </row>
    <row r="2" spans="1:8">
      <c r="A2" s="23" t="s">
        <v>24</v>
      </c>
      <c r="B2" s="23">
        <v>2020</v>
      </c>
      <c r="C2" s="23" t="s">
        <v>33</v>
      </c>
      <c r="D2" s="23" t="s">
        <v>34</v>
      </c>
      <c r="E2" s="24" t="s">
        <v>35</v>
      </c>
      <c r="F2" s="43">
        <v>931995.03203689202</v>
      </c>
      <c r="G2" s="43">
        <v>932266.56077987002</v>
      </c>
      <c r="H2" s="43">
        <v>0</v>
      </c>
    </row>
    <row r="3" spans="1:8">
      <c r="A3" s="23" t="s">
        <v>24</v>
      </c>
      <c r="B3" s="23">
        <v>2020</v>
      </c>
      <c r="C3" s="23" t="s">
        <v>33</v>
      </c>
      <c r="D3" s="23" t="s">
        <v>36</v>
      </c>
      <c r="E3" s="24" t="s">
        <v>35</v>
      </c>
      <c r="F3" s="43">
        <v>131403.50842929701</v>
      </c>
      <c r="G3" s="43">
        <v>119239.32746937701</v>
      </c>
      <c r="H3" s="43">
        <v>-12336.2204718749</v>
      </c>
    </row>
    <row r="4" spans="1:8">
      <c r="A4" s="23" t="s">
        <v>24</v>
      </c>
      <c r="B4" s="23">
        <v>2020</v>
      </c>
      <c r="C4" s="23" t="s">
        <v>33</v>
      </c>
      <c r="D4" s="23" t="s">
        <v>37</v>
      </c>
      <c r="E4" s="24" t="s">
        <v>35</v>
      </c>
      <c r="F4" s="43">
        <v>128722.265445916</v>
      </c>
      <c r="G4" s="43">
        <v>128096.397676001</v>
      </c>
      <c r="H4" s="43">
        <v>-670.64136595852301</v>
      </c>
    </row>
    <row r="5" spans="1:8">
      <c r="A5" s="23" t="s">
        <v>24</v>
      </c>
      <c r="B5" s="23">
        <v>2020</v>
      </c>
      <c r="C5" s="23" t="s">
        <v>33</v>
      </c>
      <c r="D5" s="23" t="s">
        <v>38</v>
      </c>
      <c r="E5" s="24" t="s">
        <v>35</v>
      </c>
      <c r="F5" s="43">
        <v>143548.930342031</v>
      </c>
      <c r="G5" s="43">
        <v>151590.583114801</v>
      </c>
      <c r="H5" s="43">
        <v>8087.5204635344699</v>
      </c>
    </row>
    <row r="6" spans="1:8">
      <c r="A6" s="23" t="s">
        <v>24</v>
      </c>
      <c r="B6" s="23">
        <v>2020</v>
      </c>
      <c r="C6" s="23" t="s">
        <v>33</v>
      </c>
      <c r="D6" s="23" t="s">
        <v>39</v>
      </c>
      <c r="E6" s="24" t="s">
        <v>35</v>
      </c>
      <c r="F6" s="43">
        <v>185707.92209379</v>
      </c>
      <c r="G6" s="43">
        <v>200802.18452977401</v>
      </c>
      <c r="H6" s="43">
        <v>15205.0193865694</v>
      </c>
    </row>
    <row r="7" spans="1:8">
      <c r="A7" s="23" t="s">
        <v>24</v>
      </c>
      <c r="B7" s="23">
        <v>2020</v>
      </c>
      <c r="C7" s="23" t="s">
        <v>33</v>
      </c>
      <c r="D7" s="23" t="s">
        <v>40</v>
      </c>
      <c r="E7" s="24" t="s">
        <v>35</v>
      </c>
      <c r="F7" s="43">
        <v>261945.85253472501</v>
      </c>
      <c r="G7" s="43">
        <v>280850.44736754597</v>
      </c>
      <c r="H7" s="43">
        <v>19034.663671218299</v>
      </c>
    </row>
    <row r="8" spans="1:8">
      <c r="A8" s="23" t="s">
        <v>24</v>
      </c>
      <c r="B8" s="23">
        <v>2020</v>
      </c>
      <c r="C8" s="23" t="s">
        <v>33</v>
      </c>
      <c r="D8" s="23" t="s">
        <v>41</v>
      </c>
      <c r="E8" s="24" t="s">
        <v>35</v>
      </c>
      <c r="F8" s="43">
        <v>265180.54669978999</v>
      </c>
      <c r="G8" s="43">
        <v>264045.82507205801</v>
      </c>
      <c r="H8" s="43">
        <v>-1225.2647089929101</v>
      </c>
    </row>
    <row r="9" spans="1:8">
      <c r="A9" s="7" t="s">
        <v>24</v>
      </c>
      <c r="B9" s="7">
        <v>2020</v>
      </c>
      <c r="C9" s="7" t="s">
        <v>33</v>
      </c>
      <c r="D9" s="7" t="s">
        <v>42</v>
      </c>
      <c r="E9" s="16" t="s">
        <v>35</v>
      </c>
      <c r="F9" s="44">
        <v>99879.359101811802</v>
      </c>
      <c r="G9" s="44">
        <v>111701.058238806</v>
      </c>
      <c r="H9" s="44">
        <v>11921.863684198101</v>
      </c>
    </row>
    <row r="10" spans="1:8">
      <c r="A10" s="13" t="s">
        <v>24</v>
      </c>
      <c r="B10" s="13">
        <v>2020</v>
      </c>
      <c r="C10" s="13" t="s">
        <v>43</v>
      </c>
      <c r="D10" s="13" t="s">
        <v>34</v>
      </c>
      <c r="E10" s="27" t="s">
        <v>35</v>
      </c>
      <c r="F10" s="21">
        <v>1170040.9690294999</v>
      </c>
      <c r="G10" s="21">
        <v>1170381.85041045</v>
      </c>
      <c r="H10" s="21">
        <v>0</v>
      </c>
    </row>
    <row r="11" spans="1:8">
      <c r="A11" s="13" t="s">
        <v>24</v>
      </c>
      <c r="B11" s="13">
        <v>2020</v>
      </c>
      <c r="C11" s="13" t="s">
        <v>43</v>
      </c>
      <c r="D11" s="13" t="s">
        <v>36</v>
      </c>
      <c r="E11" s="27" t="s">
        <v>35</v>
      </c>
      <c r="F11" s="21">
        <v>200212.383925476</v>
      </c>
      <c r="G11" s="21">
        <v>179309.589985</v>
      </c>
      <c r="H11" s="21">
        <v>-21190.887599796701</v>
      </c>
    </row>
    <row r="12" spans="1:8">
      <c r="A12" s="13" t="s">
        <v>24</v>
      </c>
      <c r="B12" s="13">
        <v>2020</v>
      </c>
      <c r="C12" s="13" t="s">
        <v>43</v>
      </c>
      <c r="D12" s="13" t="s">
        <v>37</v>
      </c>
      <c r="E12" s="27" t="s">
        <v>35</v>
      </c>
      <c r="F12" s="21">
        <v>180453.69982816401</v>
      </c>
      <c r="G12" s="21">
        <v>176977.01722954001</v>
      </c>
      <c r="H12" s="21">
        <v>-3567.94186228848</v>
      </c>
    </row>
    <row r="13" spans="1:8">
      <c r="A13" s="13" t="s">
        <v>24</v>
      </c>
      <c r="B13" s="13">
        <v>2020</v>
      </c>
      <c r="C13" s="13" t="s">
        <v>43</v>
      </c>
      <c r="D13" s="13" t="s">
        <v>38</v>
      </c>
      <c r="E13" s="27" t="s">
        <v>35</v>
      </c>
      <c r="F13" s="21">
        <v>197096.63812677201</v>
      </c>
      <c r="G13" s="21">
        <v>210398.36918494801</v>
      </c>
      <c r="H13" s="21">
        <v>13389.4849605625</v>
      </c>
    </row>
    <row r="14" spans="1:8">
      <c r="A14" s="13" t="s">
        <v>24</v>
      </c>
      <c r="B14" s="13">
        <v>2020</v>
      </c>
      <c r="C14" s="13" t="s">
        <v>43</v>
      </c>
      <c r="D14" s="13" t="s">
        <v>39</v>
      </c>
      <c r="E14" s="27" t="s">
        <v>35</v>
      </c>
      <c r="F14" s="21">
        <v>231109.66706485901</v>
      </c>
      <c r="G14" s="21">
        <v>261757.21983899601</v>
      </c>
      <c r="H14" s="21">
        <v>30915.423337431799</v>
      </c>
    </row>
    <row r="15" spans="1:8">
      <c r="A15" s="13" t="s">
        <v>24</v>
      </c>
      <c r="B15" s="13">
        <v>2020</v>
      </c>
      <c r="C15" s="13" t="s">
        <v>43</v>
      </c>
      <c r="D15" s="13" t="s">
        <v>40</v>
      </c>
      <c r="E15" s="27" t="s">
        <v>35</v>
      </c>
      <c r="F15" s="21">
        <v>268773.76827572897</v>
      </c>
      <c r="G15" s="21">
        <v>306591.43520283099</v>
      </c>
      <c r="H15" s="21">
        <v>38153.038667476401</v>
      </c>
    </row>
    <row r="16" spans="1:8">
      <c r="A16" s="13" t="s">
        <v>24</v>
      </c>
      <c r="B16" s="13">
        <v>2020</v>
      </c>
      <c r="C16" s="13" t="s">
        <v>43</v>
      </c>
      <c r="D16" s="13" t="s">
        <v>41</v>
      </c>
      <c r="E16" s="27" t="s">
        <v>35</v>
      </c>
      <c r="F16" s="21">
        <v>214366.40783255899</v>
      </c>
      <c r="G16" s="21">
        <v>230671.69159009701</v>
      </c>
      <c r="H16" s="21">
        <v>16420.874286111099</v>
      </c>
    </row>
    <row r="17" spans="1:8">
      <c r="A17" s="14" t="s">
        <v>24</v>
      </c>
      <c r="B17" s="14">
        <v>2020</v>
      </c>
      <c r="C17" s="14" t="s">
        <v>43</v>
      </c>
      <c r="D17" s="14" t="s">
        <v>42</v>
      </c>
      <c r="E17" s="28" t="s">
        <v>35</v>
      </c>
      <c r="F17" s="22">
        <v>54679.130846299202</v>
      </c>
      <c r="G17" s="22">
        <v>65788.958309907801</v>
      </c>
      <c r="H17" s="22">
        <v>11215.5019381944</v>
      </c>
    </row>
    <row r="18" spans="1:8">
      <c r="A18" s="23" t="s">
        <v>24</v>
      </c>
      <c r="B18" s="23">
        <v>2020</v>
      </c>
      <c r="C18" s="23" t="s">
        <v>33</v>
      </c>
      <c r="D18" s="23" t="s">
        <v>34</v>
      </c>
      <c r="E18" s="24" t="s">
        <v>35</v>
      </c>
      <c r="F18" s="43">
        <v>916171.22173709003</v>
      </c>
      <c r="G18" s="43">
        <v>916285.86580538005</v>
      </c>
      <c r="H18" s="43">
        <v>0</v>
      </c>
    </row>
    <row r="19" spans="1:8">
      <c r="A19" s="23" t="s">
        <v>24</v>
      </c>
      <c r="B19" s="23">
        <v>2020</v>
      </c>
      <c r="C19" s="23" t="s">
        <v>33</v>
      </c>
      <c r="D19" s="23" t="s">
        <v>36</v>
      </c>
      <c r="E19" s="24" t="s">
        <v>35</v>
      </c>
      <c r="F19" s="43">
        <v>131179.66710006201</v>
      </c>
      <c r="G19" s="43">
        <v>135363.40620036799</v>
      </c>
      <c r="H19" s="43">
        <v>4174.6204720400201</v>
      </c>
    </row>
    <row r="20" spans="1:8">
      <c r="A20" s="23" t="s">
        <v>24</v>
      </c>
      <c r="B20" s="23">
        <v>2020</v>
      </c>
      <c r="C20" s="23" t="s">
        <v>33</v>
      </c>
      <c r="D20" s="23" t="s">
        <v>37</v>
      </c>
      <c r="E20" s="24" t="s">
        <v>35</v>
      </c>
      <c r="F20" s="43">
        <v>128920.243958844</v>
      </c>
      <c r="G20" s="43">
        <v>147559.81297455801</v>
      </c>
      <c r="H20" s="43">
        <v>18656.043721731599</v>
      </c>
    </row>
    <row r="21" spans="1:8">
      <c r="A21" s="23" t="s">
        <v>24</v>
      </c>
      <c r="B21" s="23">
        <v>2020</v>
      </c>
      <c r="C21" s="23" t="s">
        <v>33</v>
      </c>
      <c r="D21" s="23" t="s">
        <v>38</v>
      </c>
      <c r="E21" s="24" t="s">
        <v>35</v>
      </c>
      <c r="F21" s="43">
        <v>143791.18259983</v>
      </c>
      <c r="G21" s="43">
        <v>175245.500809285</v>
      </c>
      <c r="H21" s="43">
        <v>31491.365608143798</v>
      </c>
    </row>
    <row r="22" spans="1:8">
      <c r="A22" s="23" t="s">
        <v>24</v>
      </c>
      <c r="B22" s="23">
        <v>2020</v>
      </c>
      <c r="C22" s="23" t="s">
        <v>33</v>
      </c>
      <c r="D22" s="23" t="s">
        <v>39</v>
      </c>
      <c r="E22" s="24" t="s">
        <v>35</v>
      </c>
      <c r="F22" s="43">
        <v>186514.24961602199</v>
      </c>
      <c r="G22" s="43">
        <v>221022.71176652701</v>
      </c>
      <c r="H22" s="43">
        <v>34545.501458454499</v>
      </c>
    </row>
    <row r="23" spans="1:8">
      <c r="A23" s="23" t="s">
        <v>24</v>
      </c>
      <c r="B23" s="23">
        <v>2020</v>
      </c>
      <c r="C23" s="23" t="s">
        <v>33</v>
      </c>
      <c r="D23" s="23" t="s">
        <v>40</v>
      </c>
      <c r="E23" s="24" t="s">
        <v>35</v>
      </c>
      <c r="F23" s="43">
        <v>263318.98865530599</v>
      </c>
      <c r="G23" s="43">
        <v>293447.86805415002</v>
      </c>
      <c r="H23" s="43">
        <v>30148.6229752668</v>
      </c>
    </row>
    <row r="24" spans="1:8">
      <c r="A24" s="23" t="s">
        <v>24</v>
      </c>
      <c r="B24" s="23">
        <v>2020</v>
      </c>
      <c r="C24" s="23" t="s">
        <v>33</v>
      </c>
      <c r="D24" s="23" t="s">
        <v>41</v>
      </c>
      <c r="E24" s="24" t="s">
        <v>35</v>
      </c>
      <c r="F24" s="43">
        <v>267172.75751168001</v>
      </c>
      <c r="G24" s="43">
        <v>284798.003304496</v>
      </c>
      <c r="H24" s="43">
        <v>17622.6141979532</v>
      </c>
    </row>
    <row r="25" spans="1:8">
      <c r="A25" s="7" t="s">
        <v>24</v>
      </c>
      <c r="B25" s="7">
        <v>2020</v>
      </c>
      <c r="C25" s="7" t="s">
        <v>33</v>
      </c>
      <c r="D25" s="7" t="s">
        <v>42</v>
      </c>
      <c r="E25" s="16" t="s">
        <v>35</v>
      </c>
      <c r="F25" s="44">
        <v>100665.800494216</v>
      </c>
      <c r="G25" s="44">
        <v>120367.813573526</v>
      </c>
      <c r="H25" s="44">
        <v>19723.889752982199</v>
      </c>
    </row>
    <row r="26" spans="1:8">
      <c r="A26" s="13" t="s">
        <v>24</v>
      </c>
      <c r="B26" s="13">
        <v>2020</v>
      </c>
      <c r="C26" s="13" t="s">
        <v>43</v>
      </c>
      <c r="D26" s="13" t="s">
        <v>34</v>
      </c>
      <c r="E26" s="27" t="s">
        <v>35</v>
      </c>
      <c r="F26" s="21">
        <v>1158281.6813634001</v>
      </c>
      <c r="G26" s="21">
        <v>1158426.6216551501</v>
      </c>
      <c r="H26" s="21">
        <v>0</v>
      </c>
    </row>
    <row r="27" spans="1:8">
      <c r="A27" s="13" t="s">
        <v>24</v>
      </c>
      <c r="B27" s="13">
        <v>2020</v>
      </c>
      <c r="C27" s="13" t="s">
        <v>43</v>
      </c>
      <c r="D27" s="13" t="s">
        <v>36</v>
      </c>
      <c r="E27" s="27" t="s">
        <v>35</v>
      </c>
      <c r="F27" s="21">
        <v>204718.600214395</v>
      </c>
      <c r="G27" s="21">
        <v>215297.59322648801</v>
      </c>
      <c r="H27" s="21">
        <v>10571.8532423175</v>
      </c>
    </row>
    <row r="28" spans="1:8">
      <c r="A28" s="13" t="s">
        <v>24</v>
      </c>
      <c r="B28" s="13">
        <v>2020</v>
      </c>
      <c r="C28" s="13" t="s">
        <v>43</v>
      </c>
      <c r="D28" s="13" t="s">
        <v>37</v>
      </c>
      <c r="E28" s="27" t="s">
        <v>35</v>
      </c>
      <c r="F28" s="21">
        <v>183518.97425213599</v>
      </c>
      <c r="G28" s="21">
        <v>211742.10148058299</v>
      </c>
      <c r="H28" s="21">
        <v>28249.5372726811</v>
      </c>
    </row>
    <row r="29" spans="1:8">
      <c r="A29" s="13" t="s">
        <v>24</v>
      </c>
      <c r="B29" s="13">
        <v>2020</v>
      </c>
      <c r="C29" s="13" t="s">
        <v>43</v>
      </c>
      <c r="D29" s="13" t="s">
        <v>38</v>
      </c>
      <c r="E29" s="27" t="s">
        <v>35</v>
      </c>
      <c r="F29" s="21">
        <v>199948.00480150199</v>
      </c>
      <c r="G29" s="21">
        <v>241194.99802690401</v>
      </c>
      <c r="H29" s="21">
        <v>41294.146784719102</v>
      </c>
    </row>
    <row r="30" spans="1:8">
      <c r="A30" s="13" t="s">
        <v>24</v>
      </c>
      <c r="B30" s="13">
        <v>2020</v>
      </c>
      <c r="C30" s="13" t="s">
        <v>43</v>
      </c>
      <c r="D30" s="13" t="s">
        <v>39</v>
      </c>
      <c r="E30" s="27" t="s">
        <v>35</v>
      </c>
      <c r="F30" s="21">
        <v>234756.788423527</v>
      </c>
      <c r="G30" s="21">
        <v>272074.54407146998</v>
      </c>
      <c r="H30" s="21">
        <v>37353.666284495303</v>
      </c>
    </row>
    <row r="31" spans="1:8">
      <c r="A31" s="13" t="s">
        <v>24</v>
      </c>
      <c r="B31" s="13">
        <v>2020</v>
      </c>
      <c r="C31" s="13" t="s">
        <v>43</v>
      </c>
      <c r="D31" s="13" t="s">
        <v>40</v>
      </c>
      <c r="E31" s="27" t="s">
        <v>35</v>
      </c>
      <c r="F31" s="21">
        <v>270723.57772077899</v>
      </c>
      <c r="G31" s="21">
        <v>304900.62335933099</v>
      </c>
      <c r="H31" s="21">
        <v>34202.948792861796</v>
      </c>
    </row>
    <row r="32" spans="1:8">
      <c r="A32" s="13" t="s">
        <v>24</v>
      </c>
      <c r="B32" s="13">
        <v>2020</v>
      </c>
      <c r="C32" s="13" t="s">
        <v>43</v>
      </c>
      <c r="D32" s="13" t="s">
        <v>41</v>
      </c>
      <c r="E32" s="27" t="s">
        <v>35</v>
      </c>
      <c r="F32" s="21">
        <v>217568.3749963</v>
      </c>
      <c r="G32" s="21">
        <v>234535.29067950899</v>
      </c>
      <c r="H32" s="21">
        <v>16969.349502873702</v>
      </c>
    </row>
    <row r="33" spans="1:8">
      <c r="A33" s="14" t="s">
        <v>24</v>
      </c>
      <c r="B33" s="14">
        <v>2020</v>
      </c>
      <c r="C33" s="14" t="s">
        <v>43</v>
      </c>
      <c r="D33" s="14" t="s">
        <v>42</v>
      </c>
      <c r="E33" s="28" t="s">
        <v>35</v>
      </c>
      <c r="F33" s="22">
        <v>55278.702209191397</v>
      </c>
      <c r="G33" s="22">
        <v>64080.572012269498</v>
      </c>
      <c r="H33" s="22">
        <v>8810.3512791992198</v>
      </c>
    </row>
    <row r="34" spans="1:8">
      <c r="A34" s="23" t="s">
        <v>25</v>
      </c>
      <c r="B34" s="23">
        <v>2020</v>
      </c>
      <c r="C34" s="23" t="s">
        <v>33</v>
      </c>
      <c r="D34" s="23" t="s">
        <v>34</v>
      </c>
      <c r="E34" s="24" t="s">
        <v>35</v>
      </c>
      <c r="F34" s="43">
        <v>1894307.6252780801</v>
      </c>
      <c r="G34" s="43">
        <v>1894664.1856456499</v>
      </c>
      <c r="H34" s="43">
        <v>-1283.0661647678</v>
      </c>
    </row>
    <row r="35" spans="1:8">
      <c r="A35" s="23" t="s">
        <v>25</v>
      </c>
      <c r="B35" s="23">
        <v>2020</v>
      </c>
      <c r="C35" s="23" t="s">
        <v>33</v>
      </c>
      <c r="D35" s="23" t="s">
        <v>36</v>
      </c>
      <c r="E35" s="24" t="s">
        <v>35</v>
      </c>
      <c r="F35" s="43">
        <v>388080.91964103299</v>
      </c>
      <c r="G35" s="43">
        <v>358818.95253627602</v>
      </c>
      <c r="H35" s="43">
        <v>-30053.9729229521</v>
      </c>
    </row>
    <row r="36" spans="1:8">
      <c r="A36" s="23" t="s">
        <v>25</v>
      </c>
      <c r="B36" s="23">
        <v>2020</v>
      </c>
      <c r="C36" s="23" t="s">
        <v>33</v>
      </c>
      <c r="D36" s="23" t="s">
        <v>37</v>
      </c>
      <c r="E36" s="24" t="s">
        <v>35</v>
      </c>
      <c r="F36" s="43">
        <v>522388.69162470201</v>
      </c>
      <c r="G36" s="43">
        <v>534468.68219437404</v>
      </c>
      <c r="H36" s="43">
        <v>11545.8577739384</v>
      </c>
    </row>
    <row r="37" spans="1:8">
      <c r="A37" s="23" t="s">
        <v>25</v>
      </c>
      <c r="B37" s="23">
        <v>2020</v>
      </c>
      <c r="C37" s="23" t="s">
        <v>33</v>
      </c>
      <c r="D37" s="23" t="s">
        <v>38</v>
      </c>
      <c r="E37" s="24" t="s">
        <v>35</v>
      </c>
      <c r="F37" s="43">
        <v>806986.39983913896</v>
      </c>
      <c r="G37" s="43">
        <v>876928.68015482603</v>
      </c>
      <c r="H37" s="43">
        <v>69698.3243413335</v>
      </c>
    </row>
    <row r="38" spans="1:8">
      <c r="A38" s="23" t="s">
        <v>25</v>
      </c>
      <c r="B38" s="23">
        <v>2020</v>
      </c>
      <c r="C38" s="23" t="s">
        <v>33</v>
      </c>
      <c r="D38" s="23" t="s">
        <v>39</v>
      </c>
      <c r="E38" s="24" t="s">
        <v>35</v>
      </c>
      <c r="F38" s="43">
        <v>1352702.61642723</v>
      </c>
      <c r="G38" s="43">
        <v>1500977.43626981</v>
      </c>
      <c r="H38" s="43">
        <v>148306.23194079701</v>
      </c>
    </row>
    <row r="39" spans="1:8">
      <c r="A39" s="23" t="s">
        <v>25</v>
      </c>
      <c r="B39" s="23">
        <v>2020</v>
      </c>
      <c r="C39" s="23" t="s">
        <v>33</v>
      </c>
      <c r="D39" s="23" t="s">
        <v>40</v>
      </c>
      <c r="E39" s="24" t="s">
        <v>35</v>
      </c>
      <c r="F39" s="43">
        <v>1942769.2812896799</v>
      </c>
      <c r="G39" s="43">
        <v>2147244.4124858198</v>
      </c>
      <c r="H39" s="43">
        <v>204558.743962512</v>
      </c>
    </row>
    <row r="40" spans="1:8">
      <c r="A40" s="23" t="s">
        <v>25</v>
      </c>
      <c r="B40" s="23">
        <v>2020</v>
      </c>
      <c r="C40" s="23" t="s">
        <v>33</v>
      </c>
      <c r="D40" s="23" t="s">
        <v>41</v>
      </c>
      <c r="E40" s="24" t="s">
        <v>35</v>
      </c>
      <c r="F40" s="43">
        <v>2087572.48305646</v>
      </c>
      <c r="G40" s="43">
        <v>2171976.0576812602</v>
      </c>
      <c r="H40" s="43">
        <v>83346.608608607203</v>
      </c>
    </row>
    <row r="41" spans="1:8">
      <c r="A41" s="7" t="s">
        <v>25</v>
      </c>
      <c r="B41" s="7">
        <v>2020</v>
      </c>
      <c r="C41" s="7" t="s">
        <v>33</v>
      </c>
      <c r="D41" s="7" t="s">
        <v>42</v>
      </c>
      <c r="E41" s="16" t="s">
        <v>35</v>
      </c>
      <c r="F41" s="44">
        <v>1127083.7642262999</v>
      </c>
      <c r="G41" s="44">
        <v>1310259.30429566</v>
      </c>
      <c r="H41" s="44">
        <v>183672.85506256201</v>
      </c>
    </row>
    <row r="42" spans="1:8">
      <c r="A42" s="13" t="s">
        <v>25</v>
      </c>
      <c r="B42" s="13">
        <v>2020</v>
      </c>
      <c r="C42" s="13" t="s">
        <v>43</v>
      </c>
      <c r="D42" s="13" t="s">
        <v>34</v>
      </c>
      <c r="E42" s="27" t="s">
        <v>35</v>
      </c>
      <c r="F42" s="21">
        <v>2247861.8940492501</v>
      </c>
      <c r="G42" s="21">
        <v>2253388.4184617</v>
      </c>
      <c r="H42" s="21">
        <v>3672.58016087947</v>
      </c>
    </row>
    <row r="43" spans="1:8">
      <c r="A43" s="13" t="s">
        <v>25</v>
      </c>
      <c r="B43" s="13">
        <v>2020</v>
      </c>
      <c r="C43" s="13" t="s">
        <v>43</v>
      </c>
      <c r="D43" s="13" t="s">
        <v>36</v>
      </c>
      <c r="E43" s="27" t="s">
        <v>35</v>
      </c>
      <c r="F43" s="21">
        <v>567466.970622828</v>
      </c>
      <c r="G43" s="21">
        <v>521746.92793156899</v>
      </c>
      <c r="H43" s="21">
        <v>-46785.195894171702</v>
      </c>
    </row>
    <row r="44" spans="1:8">
      <c r="A44" s="13" t="s">
        <v>25</v>
      </c>
      <c r="B44" s="13">
        <v>2020</v>
      </c>
      <c r="C44" s="13" t="s">
        <v>43</v>
      </c>
      <c r="D44" s="13" t="s">
        <v>37</v>
      </c>
      <c r="E44" s="27" t="s">
        <v>35</v>
      </c>
      <c r="F44" s="21">
        <v>802079.73383381299</v>
      </c>
      <c r="G44" s="21">
        <v>808399.02280501905</v>
      </c>
      <c r="H44" s="21">
        <v>5530.7386036817697</v>
      </c>
    </row>
    <row r="45" spans="1:8">
      <c r="A45" s="13" t="s">
        <v>25</v>
      </c>
      <c r="B45" s="13">
        <v>2020</v>
      </c>
      <c r="C45" s="13" t="s">
        <v>43</v>
      </c>
      <c r="D45" s="13" t="s">
        <v>38</v>
      </c>
      <c r="E45" s="27" t="s">
        <v>35</v>
      </c>
      <c r="F45" s="21">
        <v>1207822.71615475</v>
      </c>
      <c r="G45" s="21">
        <v>1322854.4705612401</v>
      </c>
      <c r="H45" s="21">
        <v>114882.81559877</v>
      </c>
    </row>
    <row r="46" spans="1:8">
      <c r="A46" s="13" t="s">
        <v>25</v>
      </c>
      <c r="B46" s="13">
        <v>2020</v>
      </c>
      <c r="C46" s="13" t="s">
        <v>43</v>
      </c>
      <c r="D46" s="13" t="s">
        <v>39</v>
      </c>
      <c r="E46" s="27" t="s">
        <v>35</v>
      </c>
      <c r="F46" s="21">
        <v>1979697.62543194</v>
      </c>
      <c r="G46" s="21">
        <v>2286116.6070291302</v>
      </c>
      <c r="H46" s="21">
        <v>307353.92262051901</v>
      </c>
    </row>
    <row r="47" spans="1:8">
      <c r="A47" s="13" t="s">
        <v>25</v>
      </c>
      <c r="B47" s="13">
        <v>2020</v>
      </c>
      <c r="C47" s="13" t="s">
        <v>43</v>
      </c>
      <c r="D47" s="13" t="s">
        <v>40</v>
      </c>
      <c r="E47" s="27" t="s">
        <v>35</v>
      </c>
      <c r="F47" s="21">
        <v>2372039.3100081501</v>
      </c>
      <c r="G47" s="21">
        <v>2762619.19894352</v>
      </c>
      <c r="H47" s="21">
        <v>391952.71303443803</v>
      </c>
    </row>
    <row r="48" spans="1:8">
      <c r="A48" s="13" t="s">
        <v>25</v>
      </c>
      <c r="B48" s="13">
        <v>2020</v>
      </c>
      <c r="C48" s="13" t="s">
        <v>43</v>
      </c>
      <c r="D48" s="13" t="s">
        <v>41</v>
      </c>
      <c r="E48" s="27" t="s">
        <v>35</v>
      </c>
      <c r="F48" s="21">
        <v>1940479.1471204199</v>
      </c>
      <c r="G48" s="21">
        <v>2153813.5431766901</v>
      </c>
      <c r="H48" s="21">
        <v>213496.018587842</v>
      </c>
    </row>
    <row r="49" spans="1:8">
      <c r="A49" s="14" t="s">
        <v>25</v>
      </c>
      <c r="B49" s="14">
        <v>2020</v>
      </c>
      <c r="C49" s="14" t="s">
        <v>43</v>
      </c>
      <c r="D49" s="14" t="s">
        <v>42</v>
      </c>
      <c r="E49" s="28" t="s">
        <v>35</v>
      </c>
      <c r="F49" s="22">
        <v>784467.16027903103</v>
      </c>
      <c r="G49" s="22">
        <v>994543.93982744601</v>
      </c>
      <c r="H49" s="22">
        <v>211056.73514378199</v>
      </c>
    </row>
    <row r="50" spans="1:8">
      <c r="A50" s="23" t="s">
        <v>25</v>
      </c>
      <c r="B50" s="23">
        <v>2020</v>
      </c>
      <c r="C50" s="23" t="s">
        <v>33</v>
      </c>
      <c r="D50" s="23" t="s">
        <v>34</v>
      </c>
      <c r="E50" s="24" t="s">
        <v>35</v>
      </c>
      <c r="F50" s="43">
        <v>1842300.3062797401</v>
      </c>
      <c r="G50" s="43">
        <v>1845863.6971017399</v>
      </c>
      <c r="H50" s="43">
        <v>2412.4925298275598</v>
      </c>
    </row>
    <row r="51" spans="1:8">
      <c r="A51" s="23" t="s">
        <v>25</v>
      </c>
      <c r="B51" s="23">
        <v>2020</v>
      </c>
      <c r="C51" s="23" t="s">
        <v>33</v>
      </c>
      <c r="D51" s="23" t="s">
        <v>36</v>
      </c>
      <c r="E51" s="24" t="s">
        <v>35</v>
      </c>
      <c r="F51" s="43">
        <v>383400.832086546</v>
      </c>
      <c r="G51" s="43">
        <v>426130.72761857102</v>
      </c>
      <c r="H51" s="43">
        <v>42408.856501268099</v>
      </c>
    </row>
    <row r="52" spans="1:8">
      <c r="A52" s="23" t="s">
        <v>25</v>
      </c>
      <c r="B52" s="23">
        <v>2020</v>
      </c>
      <c r="C52" s="23" t="s">
        <v>33</v>
      </c>
      <c r="D52" s="23" t="s">
        <v>37</v>
      </c>
      <c r="E52" s="24" t="s">
        <v>35</v>
      </c>
      <c r="F52" s="43">
        <v>525122.67489274498</v>
      </c>
      <c r="G52" s="43">
        <v>657087.74026558001</v>
      </c>
      <c r="H52" s="43">
        <v>131750.92052973199</v>
      </c>
    </row>
    <row r="53" spans="1:8">
      <c r="A53" s="23" t="s">
        <v>25</v>
      </c>
      <c r="B53" s="23">
        <v>2020</v>
      </c>
      <c r="C53" s="23" t="s">
        <v>33</v>
      </c>
      <c r="D53" s="23" t="s">
        <v>38</v>
      </c>
      <c r="E53" s="24" t="s">
        <v>35</v>
      </c>
      <c r="F53" s="43">
        <v>810384.708980405</v>
      </c>
      <c r="G53" s="43">
        <v>1124515.4386412301</v>
      </c>
      <c r="H53" s="43">
        <v>314136.88467244501</v>
      </c>
    </row>
    <row r="54" spans="1:8">
      <c r="A54" s="23" t="s">
        <v>25</v>
      </c>
      <c r="B54" s="23">
        <v>2020</v>
      </c>
      <c r="C54" s="23" t="s">
        <v>33</v>
      </c>
      <c r="D54" s="23" t="s">
        <v>39</v>
      </c>
      <c r="E54" s="24" t="s">
        <v>35</v>
      </c>
      <c r="F54" s="43">
        <v>1360454.59077981</v>
      </c>
      <c r="G54" s="43">
        <v>1942520.2401114099</v>
      </c>
      <c r="H54" s="43">
        <v>582328.65849834797</v>
      </c>
    </row>
    <row r="55" spans="1:8">
      <c r="A55" s="23" t="s">
        <v>25</v>
      </c>
      <c r="B55" s="23">
        <v>2020</v>
      </c>
      <c r="C55" s="23" t="s">
        <v>33</v>
      </c>
      <c r="D55" s="23" t="s">
        <v>40</v>
      </c>
      <c r="E55" s="24" t="s">
        <v>35</v>
      </c>
      <c r="F55" s="43">
        <v>2003135.8984916999</v>
      </c>
      <c r="G55" s="43">
        <v>2827956.5924497801</v>
      </c>
      <c r="H55" s="43">
        <v>825242.14175698103</v>
      </c>
    </row>
    <row r="56" spans="1:8">
      <c r="A56" s="23" t="s">
        <v>25</v>
      </c>
      <c r="B56" s="23">
        <v>2020</v>
      </c>
      <c r="C56" s="23" t="s">
        <v>33</v>
      </c>
      <c r="D56" s="23" t="s">
        <v>41</v>
      </c>
      <c r="E56" s="24" t="s">
        <v>35</v>
      </c>
      <c r="F56" s="43">
        <v>2113052.16398199</v>
      </c>
      <c r="G56" s="43">
        <v>2706392.66681136</v>
      </c>
      <c r="H56" s="43">
        <v>593238.857990894</v>
      </c>
    </row>
    <row r="57" spans="1:8">
      <c r="A57" s="7" t="s">
        <v>25</v>
      </c>
      <c r="B57" s="7">
        <v>2020</v>
      </c>
      <c r="C57" s="7" t="s">
        <v>33</v>
      </c>
      <c r="D57" s="7" t="s">
        <v>42</v>
      </c>
      <c r="E57" s="16" t="s">
        <v>35</v>
      </c>
      <c r="F57" s="44">
        <v>1143983.45067425</v>
      </c>
      <c r="G57" s="44">
        <v>1537018.43810878</v>
      </c>
      <c r="H57" s="44">
        <v>393028.45324619301</v>
      </c>
    </row>
    <row r="58" spans="1:8">
      <c r="A58" s="13" t="s">
        <v>25</v>
      </c>
      <c r="B58" s="13">
        <v>2020</v>
      </c>
      <c r="C58" s="13" t="s">
        <v>43</v>
      </c>
      <c r="D58" s="13" t="s">
        <v>34</v>
      </c>
      <c r="E58" s="27" t="s">
        <v>35</v>
      </c>
      <c r="F58" s="21">
        <v>2192051.1649102401</v>
      </c>
      <c r="G58" s="21">
        <v>2200238.5978569901</v>
      </c>
      <c r="H58" s="21">
        <v>6865.8300603674197</v>
      </c>
    </row>
    <row r="59" spans="1:8">
      <c r="A59" s="13" t="s">
        <v>25</v>
      </c>
      <c r="B59" s="13">
        <v>2020</v>
      </c>
      <c r="C59" s="13" t="s">
        <v>43</v>
      </c>
      <c r="D59" s="13" t="s">
        <v>36</v>
      </c>
      <c r="E59" s="27" t="s">
        <v>35</v>
      </c>
      <c r="F59" s="21">
        <v>564114.00194312399</v>
      </c>
      <c r="G59" s="21">
        <v>621661.426761618</v>
      </c>
      <c r="H59" s="21">
        <v>57163.231824869399</v>
      </c>
    </row>
    <row r="60" spans="1:8">
      <c r="A60" s="13" t="s">
        <v>25</v>
      </c>
      <c r="B60" s="13">
        <v>2020</v>
      </c>
      <c r="C60" s="13" t="s">
        <v>43</v>
      </c>
      <c r="D60" s="13" t="s">
        <v>37</v>
      </c>
      <c r="E60" s="27" t="s">
        <v>35</v>
      </c>
      <c r="F60" s="21">
        <v>815553.89482142101</v>
      </c>
      <c r="G60" s="21">
        <v>1016724.7484697599</v>
      </c>
      <c r="H60" s="21">
        <v>200946.69285242399</v>
      </c>
    </row>
    <row r="61" spans="1:8">
      <c r="A61" s="13" t="s">
        <v>25</v>
      </c>
      <c r="B61" s="13">
        <v>2020</v>
      </c>
      <c r="C61" s="13" t="s">
        <v>43</v>
      </c>
      <c r="D61" s="13" t="s">
        <v>38</v>
      </c>
      <c r="E61" s="27" t="s">
        <v>35</v>
      </c>
      <c r="F61" s="21">
        <v>1223149.81508691</v>
      </c>
      <c r="G61" s="21">
        <v>1650686.9448209901</v>
      </c>
      <c r="H61" s="21">
        <v>427559.38137690001</v>
      </c>
    </row>
    <row r="62" spans="1:8">
      <c r="A62" s="13" t="s">
        <v>25</v>
      </c>
      <c r="B62" s="13">
        <v>2020</v>
      </c>
      <c r="C62" s="13" t="s">
        <v>43</v>
      </c>
      <c r="D62" s="13" t="s">
        <v>39</v>
      </c>
      <c r="E62" s="27" t="s">
        <v>35</v>
      </c>
      <c r="F62" s="21">
        <v>2012716.5859510801</v>
      </c>
      <c r="G62" s="21">
        <v>2737522.4780253801</v>
      </c>
      <c r="H62" s="21">
        <v>725020.84239814198</v>
      </c>
    </row>
    <row r="63" spans="1:8">
      <c r="A63" s="13" t="s">
        <v>25</v>
      </c>
      <c r="B63" s="13">
        <v>2020</v>
      </c>
      <c r="C63" s="13" t="s">
        <v>43</v>
      </c>
      <c r="D63" s="13" t="s">
        <v>40</v>
      </c>
      <c r="E63" s="27" t="s">
        <v>35</v>
      </c>
      <c r="F63" s="21">
        <v>2455844.1164582302</v>
      </c>
      <c r="G63" s="21">
        <v>3350858.1474339799</v>
      </c>
      <c r="H63" s="21">
        <v>895343.92589548801</v>
      </c>
    </row>
    <row r="64" spans="1:8">
      <c r="A64" s="13" t="s">
        <v>25</v>
      </c>
      <c r="B64" s="13">
        <v>2020</v>
      </c>
      <c r="C64" s="13" t="s">
        <v>43</v>
      </c>
      <c r="D64" s="13" t="s">
        <v>41</v>
      </c>
      <c r="E64" s="27" t="s">
        <v>35</v>
      </c>
      <c r="F64" s="21">
        <v>1958991.91948819</v>
      </c>
      <c r="G64" s="21">
        <v>2546174.0761986002</v>
      </c>
      <c r="H64" s="21">
        <v>587147.39843962004</v>
      </c>
    </row>
    <row r="65" spans="1:8">
      <c r="A65" s="14" t="s">
        <v>25</v>
      </c>
      <c r="B65" s="14">
        <v>2020</v>
      </c>
      <c r="C65" s="14" t="s">
        <v>43</v>
      </c>
      <c r="D65" s="14" t="s">
        <v>42</v>
      </c>
      <c r="E65" s="28" t="s">
        <v>35</v>
      </c>
      <c r="F65" s="22">
        <v>793176.63566013705</v>
      </c>
      <c r="G65" s="22">
        <v>1083732.1569985901</v>
      </c>
      <c r="H65" s="22">
        <v>290523.02109096502</v>
      </c>
    </row>
    <row r="66" spans="1:8">
      <c r="A66" s="23" t="s">
        <v>26</v>
      </c>
      <c r="B66" s="23">
        <v>2021</v>
      </c>
      <c r="C66" s="23" t="s">
        <v>33</v>
      </c>
      <c r="D66" s="23" t="s">
        <v>34</v>
      </c>
      <c r="E66" s="24" t="s">
        <v>35</v>
      </c>
      <c r="F66" s="43">
        <v>267496.60917284503</v>
      </c>
      <c r="G66" s="43">
        <v>251196.10110642199</v>
      </c>
      <c r="H66" s="43">
        <v>-18377.161348637099</v>
      </c>
    </row>
    <row r="67" spans="1:8">
      <c r="A67" s="23" t="s">
        <v>26</v>
      </c>
      <c r="B67" s="23">
        <v>2021</v>
      </c>
      <c r="C67" s="23" t="s">
        <v>33</v>
      </c>
      <c r="D67" s="23" t="s">
        <v>36</v>
      </c>
      <c r="E67" s="24" t="s">
        <v>35</v>
      </c>
      <c r="F67" s="43">
        <v>141882.60437146001</v>
      </c>
      <c r="G67" s="43">
        <v>140612.19060242601</v>
      </c>
      <c r="H67" s="43">
        <v>-3340.5980884159098</v>
      </c>
    </row>
    <row r="68" spans="1:8">
      <c r="A68" s="23" t="s">
        <v>26</v>
      </c>
      <c r="B68" s="23">
        <v>2021</v>
      </c>
      <c r="C68" s="23" t="s">
        <v>33</v>
      </c>
      <c r="D68" s="23" t="s">
        <v>37</v>
      </c>
      <c r="E68" s="24" t="s">
        <v>35</v>
      </c>
      <c r="F68" s="43">
        <v>225319.58733748901</v>
      </c>
      <c r="G68" s="43">
        <v>238124.74426925401</v>
      </c>
      <c r="H68" s="43">
        <v>10737.152910520599</v>
      </c>
    </row>
    <row r="69" spans="1:8">
      <c r="A69" s="23" t="s">
        <v>26</v>
      </c>
      <c r="B69" s="23">
        <v>2021</v>
      </c>
      <c r="C69" s="23" t="s">
        <v>33</v>
      </c>
      <c r="D69" s="23" t="s">
        <v>38</v>
      </c>
      <c r="E69" s="24" t="s">
        <v>35</v>
      </c>
      <c r="F69" s="43">
        <v>472589.07399830897</v>
      </c>
      <c r="G69" s="43">
        <v>518629.38372426899</v>
      </c>
      <c r="H69" s="43">
        <v>43976.484541361198</v>
      </c>
    </row>
    <row r="70" spans="1:8">
      <c r="A70" s="23" t="s">
        <v>26</v>
      </c>
      <c r="B70" s="23">
        <v>2021</v>
      </c>
      <c r="C70" s="23" t="s">
        <v>33</v>
      </c>
      <c r="D70" s="23" t="s">
        <v>39</v>
      </c>
      <c r="E70" s="24" t="s">
        <v>35</v>
      </c>
      <c r="F70" s="43">
        <v>875589.67280883295</v>
      </c>
      <c r="G70" s="43">
        <v>961998.957164024</v>
      </c>
      <c r="H70" s="43">
        <v>84348.555202213494</v>
      </c>
    </row>
    <row r="71" spans="1:8">
      <c r="A71" s="23" t="s">
        <v>26</v>
      </c>
      <c r="B71" s="23">
        <v>2021</v>
      </c>
      <c r="C71" s="23" t="s">
        <v>33</v>
      </c>
      <c r="D71" s="23" t="s">
        <v>40</v>
      </c>
      <c r="E71" s="24" t="s">
        <v>35</v>
      </c>
      <c r="F71" s="43">
        <v>1586015.08157959</v>
      </c>
      <c r="G71" s="43">
        <v>1729465.06450545</v>
      </c>
      <c r="H71" s="43">
        <v>141390.90928697499</v>
      </c>
    </row>
    <row r="72" spans="1:8">
      <c r="A72" s="23" t="s">
        <v>26</v>
      </c>
      <c r="B72" s="23">
        <v>2021</v>
      </c>
      <c r="C72" s="23" t="s">
        <v>33</v>
      </c>
      <c r="D72" s="23" t="s">
        <v>41</v>
      </c>
      <c r="E72" s="24" t="s">
        <v>35</v>
      </c>
      <c r="F72" s="43">
        <v>2242877.0517487898</v>
      </c>
      <c r="G72" s="43">
        <v>2365458.7418548898</v>
      </c>
      <c r="H72" s="43">
        <v>120504.33027034</v>
      </c>
    </row>
    <row r="73" spans="1:8">
      <c r="A73" s="7" t="s">
        <v>26</v>
      </c>
      <c r="B73" s="7">
        <v>2021</v>
      </c>
      <c r="C73" s="7" t="s">
        <v>33</v>
      </c>
      <c r="D73" s="7" t="s">
        <v>42</v>
      </c>
      <c r="E73" s="16" t="s">
        <v>35</v>
      </c>
      <c r="F73" s="44">
        <v>2135053.0425050398</v>
      </c>
      <c r="G73" s="44">
        <v>2231326.3658783799</v>
      </c>
      <c r="H73" s="44">
        <v>94190.960236875006</v>
      </c>
    </row>
    <row r="74" spans="1:8">
      <c r="A74" s="13" t="s">
        <v>26</v>
      </c>
      <c r="B74" s="13">
        <v>2021</v>
      </c>
      <c r="C74" s="13" t="s">
        <v>43</v>
      </c>
      <c r="D74" s="13" t="s">
        <v>34</v>
      </c>
      <c r="E74" s="27" t="s">
        <v>35</v>
      </c>
      <c r="F74" s="21">
        <v>427369.78517900099</v>
      </c>
      <c r="G74" s="21">
        <v>410516.19798071298</v>
      </c>
      <c r="H74" s="21">
        <v>-18933.472641256802</v>
      </c>
    </row>
    <row r="75" spans="1:8">
      <c r="A75" s="13" t="s">
        <v>26</v>
      </c>
      <c r="B75" s="13">
        <v>2021</v>
      </c>
      <c r="C75" s="13" t="s">
        <v>43</v>
      </c>
      <c r="D75" s="13" t="s">
        <v>36</v>
      </c>
      <c r="E75" s="27" t="s">
        <v>35</v>
      </c>
      <c r="F75" s="21">
        <v>310865.76154096797</v>
      </c>
      <c r="G75" s="21">
        <v>322001.93129153602</v>
      </c>
      <c r="H75" s="21">
        <v>9066.0665885529997</v>
      </c>
    </row>
    <row r="76" spans="1:8">
      <c r="A76" s="13" t="s">
        <v>26</v>
      </c>
      <c r="B76" s="13">
        <v>2021</v>
      </c>
      <c r="C76" s="13" t="s">
        <v>43</v>
      </c>
      <c r="D76" s="13" t="s">
        <v>37</v>
      </c>
      <c r="E76" s="27" t="s">
        <v>35</v>
      </c>
      <c r="F76" s="21">
        <v>455187.81989149202</v>
      </c>
      <c r="G76" s="21">
        <v>500195.89815158001</v>
      </c>
      <c r="H76" s="21">
        <v>42944.310772097</v>
      </c>
    </row>
    <row r="77" spans="1:8">
      <c r="A77" s="13" t="s">
        <v>26</v>
      </c>
      <c r="B77" s="13">
        <v>2021</v>
      </c>
      <c r="C77" s="13" t="s">
        <v>43</v>
      </c>
      <c r="D77" s="13" t="s">
        <v>38</v>
      </c>
      <c r="E77" s="27" t="s">
        <v>35</v>
      </c>
      <c r="F77" s="21">
        <v>953755.36843640904</v>
      </c>
      <c r="G77" s="21">
        <v>1078208.3476309499</v>
      </c>
      <c r="H77" s="21">
        <v>122400.984716441</v>
      </c>
    </row>
    <row r="78" spans="1:8">
      <c r="A78" s="13" t="s">
        <v>26</v>
      </c>
      <c r="B78" s="13">
        <v>2021</v>
      </c>
      <c r="C78" s="13" t="s">
        <v>43</v>
      </c>
      <c r="D78" s="13" t="s">
        <v>39</v>
      </c>
      <c r="E78" s="27" t="s">
        <v>35</v>
      </c>
      <c r="F78" s="21">
        <v>1681446.52200188</v>
      </c>
      <c r="G78" s="21">
        <v>1861061.7397356699</v>
      </c>
      <c r="H78" s="21">
        <v>177564.04006801199</v>
      </c>
    </row>
    <row r="79" spans="1:8">
      <c r="A79" s="13" t="s">
        <v>26</v>
      </c>
      <c r="B79" s="13">
        <v>2021</v>
      </c>
      <c r="C79" s="13" t="s">
        <v>43</v>
      </c>
      <c r="D79" s="13" t="s">
        <v>40</v>
      </c>
      <c r="E79" s="27" t="s">
        <v>35</v>
      </c>
      <c r="F79" s="21">
        <v>2467068.68848895</v>
      </c>
      <c r="G79" s="21">
        <v>2710478.1275132098</v>
      </c>
      <c r="H79" s="21">
        <v>241360.28484163701</v>
      </c>
    </row>
    <row r="80" spans="1:8">
      <c r="A80" s="13" t="s">
        <v>26</v>
      </c>
      <c r="B80" s="13">
        <v>2021</v>
      </c>
      <c r="C80" s="13" t="s">
        <v>43</v>
      </c>
      <c r="D80" s="13" t="s">
        <v>41</v>
      </c>
      <c r="E80" s="27" t="s">
        <v>35</v>
      </c>
      <c r="F80" s="21">
        <v>2378336.1913405601</v>
      </c>
      <c r="G80" s="21">
        <v>2569133.6948382598</v>
      </c>
      <c r="H80" s="21">
        <v>188735.89635523601</v>
      </c>
    </row>
    <row r="81" spans="1:8">
      <c r="A81" s="14" t="s">
        <v>26</v>
      </c>
      <c r="B81" s="14">
        <v>2021</v>
      </c>
      <c r="C81" s="14" t="s">
        <v>43</v>
      </c>
      <c r="D81" s="14" t="s">
        <v>42</v>
      </c>
      <c r="E81" s="28" t="s">
        <v>35</v>
      </c>
      <c r="F81" s="22">
        <v>1335314.8798084599</v>
      </c>
      <c r="G81" s="22">
        <v>1458952.69175297</v>
      </c>
      <c r="H81" s="22">
        <v>121578.239377889</v>
      </c>
    </row>
    <row r="82" spans="1:8">
      <c r="A82" s="23" t="s">
        <v>26</v>
      </c>
      <c r="B82" s="23">
        <v>2021</v>
      </c>
      <c r="C82" s="23" t="s">
        <v>33</v>
      </c>
      <c r="D82" s="23" t="s">
        <v>34</v>
      </c>
      <c r="E82" s="24" t="s">
        <v>35</v>
      </c>
      <c r="F82" s="43">
        <v>251865.471985421</v>
      </c>
      <c r="G82" s="43">
        <v>249817.22572888399</v>
      </c>
      <c r="H82" s="43">
        <v>-3420.6027228080202</v>
      </c>
    </row>
    <row r="83" spans="1:8">
      <c r="A83" s="23" t="s">
        <v>26</v>
      </c>
      <c r="B83" s="23">
        <v>2021</v>
      </c>
      <c r="C83" s="23" t="s">
        <v>33</v>
      </c>
      <c r="D83" s="23" t="s">
        <v>36</v>
      </c>
      <c r="E83" s="24" t="s">
        <v>35</v>
      </c>
      <c r="F83" s="43">
        <v>137120.45530950601</v>
      </c>
      <c r="G83" s="43">
        <v>151484.62370286501</v>
      </c>
      <c r="H83" s="43">
        <v>13062.9045031158</v>
      </c>
    </row>
    <row r="84" spans="1:8">
      <c r="A84" s="23" t="s">
        <v>26</v>
      </c>
      <c r="B84" s="23">
        <v>2021</v>
      </c>
      <c r="C84" s="23" t="s">
        <v>33</v>
      </c>
      <c r="D84" s="23" t="s">
        <v>37</v>
      </c>
      <c r="E84" s="24" t="s">
        <v>35</v>
      </c>
      <c r="F84" s="43">
        <v>223125.813636476</v>
      </c>
      <c r="G84" s="43">
        <v>274517.17348712799</v>
      </c>
      <c r="H84" s="43">
        <v>50139.8895117176</v>
      </c>
    </row>
    <row r="85" spans="1:8">
      <c r="A85" s="23" t="s">
        <v>26</v>
      </c>
      <c r="B85" s="23">
        <v>2021</v>
      </c>
      <c r="C85" s="23" t="s">
        <v>33</v>
      </c>
      <c r="D85" s="23" t="s">
        <v>38</v>
      </c>
      <c r="E85" s="24" t="s">
        <v>35</v>
      </c>
      <c r="F85" s="43">
        <v>460599.29957234301</v>
      </c>
      <c r="G85" s="43">
        <v>591636.69651069003</v>
      </c>
      <c r="H85" s="43">
        <v>129876.205684607</v>
      </c>
    </row>
    <row r="86" spans="1:8">
      <c r="A86" s="23" t="s">
        <v>26</v>
      </c>
      <c r="B86" s="23">
        <v>2021</v>
      </c>
      <c r="C86" s="23" t="s">
        <v>33</v>
      </c>
      <c r="D86" s="23" t="s">
        <v>39</v>
      </c>
      <c r="E86" s="24" t="s">
        <v>35</v>
      </c>
      <c r="F86" s="43">
        <v>872772.26113797398</v>
      </c>
      <c r="G86" s="43">
        <v>1110796.6012803901</v>
      </c>
      <c r="H86" s="43">
        <v>236954.53818444701</v>
      </c>
    </row>
    <row r="87" spans="1:8">
      <c r="A87" s="23" t="s">
        <v>26</v>
      </c>
      <c r="B87" s="23">
        <v>2021</v>
      </c>
      <c r="C87" s="23" t="s">
        <v>33</v>
      </c>
      <c r="D87" s="23" t="s">
        <v>40</v>
      </c>
      <c r="E87" s="24" t="s">
        <v>35</v>
      </c>
      <c r="F87" s="43">
        <v>1627232.6125842801</v>
      </c>
      <c r="G87" s="43">
        <v>1946281.4525512899</v>
      </c>
      <c r="H87" s="43">
        <v>317906.41026167001</v>
      </c>
    </row>
    <row r="88" spans="1:8">
      <c r="A88" s="23" t="s">
        <v>26</v>
      </c>
      <c r="B88" s="23">
        <v>2021</v>
      </c>
      <c r="C88" s="23" t="s">
        <v>33</v>
      </c>
      <c r="D88" s="23" t="s">
        <v>41</v>
      </c>
      <c r="E88" s="24" t="s">
        <v>35</v>
      </c>
      <c r="F88" s="43">
        <v>2227660.9687329298</v>
      </c>
      <c r="G88" s="43">
        <v>2485447.3661347502</v>
      </c>
      <c r="H88" s="43">
        <v>256323.405490465</v>
      </c>
    </row>
    <row r="89" spans="1:8">
      <c r="A89" s="7" t="s">
        <v>26</v>
      </c>
      <c r="B89" s="7">
        <v>2021</v>
      </c>
      <c r="C89" s="7" t="s">
        <v>33</v>
      </c>
      <c r="D89" s="7" t="s">
        <v>42</v>
      </c>
      <c r="E89" s="16" t="s">
        <v>35</v>
      </c>
      <c r="F89" s="44">
        <v>2177341.62062009</v>
      </c>
      <c r="G89" s="44">
        <v>2597774.70333046</v>
      </c>
      <c r="H89" s="44">
        <v>419326.10130920197</v>
      </c>
    </row>
    <row r="90" spans="1:8">
      <c r="A90" s="13" t="s">
        <v>26</v>
      </c>
      <c r="B90" s="13">
        <v>2021</v>
      </c>
      <c r="C90" s="13" t="s">
        <v>43</v>
      </c>
      <c r="D90" s="13" t="s">
        <v>34</v>
      </c>
      <c r="E90" s="27" t="s">
        <v>35</v>
      </c>
      <c r="F90" s="21">
        <v>403582.897989291</v>
      </c>
      <c r="G90" s="21">
        <v>402384.294850912</v>
      </c>
      <c r="H90" s="21">
        <v>-2617.8368903945302</v>
      </c>
    </row>
    <row r="91" spans="1:8">
      <c r="A91" s="13" t="s">
        <v>26</v>
      </c>
      <c r="B91" s="13">
        <v>2021</v>
      </c>
      <c r="C91" s="13" t="s">
        <v>43</v>
      </c>
      <c r="D91" s="13" t="s">
        <v>36</v>
      </c>
      <c r="E91" s="27" t="s">
        <v>35</v>
      </c>
      <c r="F91" s="21">
        <v>302436.988805865</v>
      </c>
      <c r="G91" s="21">
        <v>330903.10723114602</v>
      </c>
      <c r="H91" s="21">
        <v>27141.308926821501</v>
      </c>
    </row>
    <row r="92" spans="1:8">
      <c r="A92" s="13" t="s">
        <v>26</v>
      </c>
      <c r="B92" s="13">
        <v>2021</v>
      </c>
      <c r="C92" s="13" t="s">
        <v>43</v>
      </c>
      <c r="D92" s="13" t="s">
        <v>37</v>
      </c>
      <c r="E92" s="27" t="s">
        <v>35</v>
      </c>
      <c r="F92" s="21">
        <v>450724.51046019199</v>
      </c>
      <c r="G92" s="21">
        <v>543447.67903204297</v>
      </c>
      <c r="H92" s="21">
        <v>91485.080765753199</v>
      </c>
    </row>
    <row r="93" spans="1:8">
      <c r="A93" s="13" t="s">
        <v>26</v>
      </c>
      <c r="B93" s="13">
        <v>2021</v>
      </c>
      <c r="C93" s="13" t="s">
        <v>43</v>
      </c>
      <c r="D93" s="13" t="s">
        <v>38</v>
      </c>
      <c r="E93" s="27" t="s">
        <v>35</v>
      </c>
      <c r="F93" s="21">
        <v>935327.84735630301</v>
      </c>
      <c r="G93" s="21">
        <v>1149199.46318422</v>
      </c>
      <c r="H93" s="21">
        <v>212731.28288666901</v>
      </c>
    </row>
    <row r="94" spans="1:8">
      <c r="A94" s="13" t="s">
        <v>26</v>
      </c>
      <c r="B94" s="13">
        <v>2021</v>
      </c>
      <c r="C94" s="13" t="s">
        <v>43</v>
      </c>
      <c r="D94" s="13" t="s">
        <v>39</v>
      </c>
      <c r="E94" s="27" t="s">
        <v>35</v>
      </c>
      <c r="F94" s="21">
        <v>1680140.7416272</v>
      </c>
      <c r="G94" s="21">
        <v>1964494.3291577301</v>
      </c>
      <c r="H94" s="21">
        <v>283121.69042947399</v>
      </c>
    </row>
    <row r="95" spans="1:8">
      <c r="A95" s="13" t="s">
        <v>26</v>
      </c>
      <c r="B95" s="13">
        <v>2021</v>
      </c>
      <c r="C95" s="13" t="s">
        <v>43</v>
      </c>
      <c r="D95" s="13" t="s">
        <v>40</v>
      </c>
      <c r="E95" s="27" t="s">
        <v>35</v>
      </c>
      <c r="F95" s="21">
        <v>2544904.13125906</v>
      </c>
      <c r="G95" s="21">
        <v>2882830.55793487</v>
      </c>
      <c r="H95" s="21">
        <v>336529.165581254</v>
      </c>
    </row>
    <row r="96" spans="1:8">
      <c r="A96" s="13" t="s">
        <v>26</v>
      </c>
      <c r="B96" s="13">
        <v>2021</v>
      </c>
      <c r="C96" s="13" t="s">
        <v>43</v>
      </c>
      <c r="D96" s="13" t="s">
        <v>41</v>
      </c>
      <c r="E96" s="27" t="s">
        <v>35</v>
      </c>
      <c r="F96" s="21">
        <v>2397438.8097748002</v>
      </c>
      <c r="G96" s="21">
        <v>2586279.2955995402</v>
      </c>
      <c r="H96" s="21">
        <v>187178.97696634301</v>
      </c>
    </row>
    <row r="97" spans="1:8">
      <c r="A97" s="14" t="s">
        <v>26</v>
      </c>
      <c r="B97" s="14">
        <v>2021</v>
      </c>
      <c r="C97" s="14" t="s">
        <v>43</v>
      </c>
      <c r="D97" s="14" t="s">
        <v>42</v>
      </c>
      <c r="E97" s="28" t="s">
        <v>35</v>
      </c>
      <c r="F97" s="22">
        <v>1373799.6570949</v>
      </c>
      <c r="G97" s="22">
        <v>1559984.27728311</v>
      </c>
      <c r="H97" s="22">
        <v>184845.82208203999</v>
      </c>
    </row>
    <row r="98" spans="1:8">
      <c r="A98" s="23" t="s">
        <v>27</v>
      </c>
      <c r="B98" s="23">
        <v>2021</v>
      </c>
      <c r="C98" s="23" t="s">
        <v>33</v>
      </c>
      <c r="D98" s="23" t="s">
        <v>34</v>
      </c>
      <c r="E98" s="24" t="s">
        <v>35</v>
      </c>
      <c r="F98" s="43">
        <v>59705.3579695523</v>
      </c>
      <c r="G98" s="43">
        <v>58531.205269964397</v>
      </c>
      <c r="H98" s="43">
        <v>-1632.2364772103799</v>
      </c>
    </row>
    <row r="99" spans="1:8">
      <c r="A99" s="23" t="s">
        <v>27</v>
      </c>
      <c r="B99" s="23">
        <v>2021</v>
      </c>
      <c r="C99" s="23" t="s">
        <v>33</v>
      </c>
      <c r="D99" s="23" t="s">
        <v>36</v>
      </c>
      <c r="E99" s="24" t="s">
        <v>35</v>
      </c>
      <c r="F99" s="43">
        <v>38911.918756904801</v>
      </c>
      <c r="G99" s="43">
        <v>42419.717957847002</v>
      </c>
      <c r="H99" s="43">
        <v>3052.0814632455999</v>
      </c>
    </row>
    <row r="100" spans="1:8">
      <c r="A100" s="23" t="s">
        <v>27</v>
      </c>
      <c r="B100" s="23">
        <v>2021</v>
      </c>
      <c r="C100" s="23" t="s">
        <v>33</v>
      </c>
      <c r="D100" s="23" t="s">
        <v>37</v>
      </c>
      <c r="E100" s="24" t="s">
        <v>35</v>
      </c>
      <c r="F100" s="43">
        <v>76522.567090260796</v>
      </c>
      <c r="G100" s="43">
        <v>84455.174880487597</v>
      </c>
      <c r="H100" s="43">
        <v>7477.1474721936802</v>
      </c>
    </row>
    <row r="101" spans="1:8">
      <c r="A101" s="23" t="s">
        <v>27</v>
      </c>
      <c r="B101" s="23">
        <v>2021</v>
      </c>
      <c r="C101" s="23" t="s">
        <v>33</v>
      </c>
      <c r="D101" s="23" t="s">
        <v>38</v>
      </c>
      <c r="E101" s="24" t="s">
        <v>35</v>
      </c>
      <c r="F101" s="43">
        <v>178411.31667843199</v>
      </c>
      <c r="G101" s="43">
        <v>190119.572785164</v>
      </c>
      <c r="H101" s="43">
        <v>11250.6036668406</v>
      </c>
    </row>
    <row r="102" spans="1:8">
      <c r="A102" s="23" t="s">
        <v>27</v>
      </c>
      <c r="B102" s="23">
        <v>2021</v>
      </c>
      <c r="C102" s="23" t="s">
        <v>33</v>
      </c>
      <c r="D102" s="23" t="s">
        <v>39</v>
      </c>
      <c r="E102" s="24" t="s">
        <v>35</v>
      </c>
      <c r="F102" s="43">
        <v>403375.73715641402</v>
      </c>
      <c r="G102" s="43">
        <v>429427.24808335601</v>
      </c>
      <c r="H102" s="43">
        <v>25591.132154472001</v>
      </c>
    </row>
    <row r="103" spans="1:8">
      <c r="A103" s="23" t="s">
        <v>27</v>
      </c>
      <c r="B103" s="23">
        <v>2021</v>
      </c>
      <c r="C103" s="23" t="s">
        <v>33</v>
      </c>
      <c r="D103" s="23" t="s">
        <v>40</v>
      </c>
      <c r="E103" s="24" t="s">
        <v>35</v>
      </c>
      <c r="F103" s="43">
        <v>749981.49777773605</v>
      </c>
      <c r="G103" s="43">
        <v>812529.79339459597</v>
      </c>
      <c r="H103" s="43">
        <v>62088.782827921103</v>
      </c>
    </row>
    <row r="104" spans="1:8">
      <c r="A104" s="23" t="s">
        <v>27</v>
      </c>
      <c r="B104" s="23">
        <v>2021</v>
      </c>
      <c r="C104" s="23" t="s">
        <v>33</v>
      </c>
      <c r="D104" s="23" t="s">
        <v>41</v>
      </c>
      <c r="E104" s="24" t="s">
        <v>35</v>
      </c>
      <c r="F104" s="43">
        <v>1362850.6745764001</v>
      </c>
      <c r="G104" s="43">
        <v>1482196.5598631699</v>
      </c>
      <c r="H104" s="43">
        <v>118885.181474365</v>
      </c>
    </row>
    <row r="105" spans="1:8">
      <c r="A105" s="7" t="s">
        <v>27</v>
      </c>
      <c r="B105" s="7">
        <v>2021</v>
      </c>
      <c r="C105" s="7" t="s">
        <v>33</v>
      </c>
      <c r="D105" s="7" t="s">
        <v>42</v>
      </c>
      <c r="E105" s="16" t="s">
        <v>35</v>
      </c>
      <c r="F105" s="44">
        <v>2540201.8873218899</v>
      </c>
      <c r="G105" s="44">
        <v>2758533.2916794801</v>
      </c>
      <c r="H105" s="44">
        <v>217864.84951510999</v>
      </c>
    </row>
    <row r="106" spans="1:8">
      <c r="A106" s="13" t="s">
        <v>27</v>
      </c>
      <c r="B106" s="13">
        <v>2021</v>
      </c>
      <c r="C106" s="13" t="s">
        <v>43</v>
      </c>
      <c r="D106" s="13" t="s">
        <v>34</v>
      </c>
      <c r="E106" s="27" t="s">
        <v>35</v>
      </c>
      <c r="F106" s="21">
        <v>101766.625895477</v>
      </c>
      <c r="G106" s="21">
        <v>103075.572622319</v>
      </c>
      <c r="H106" s="21">
        <v>850.28331223554301</v>
      </c>
    </row>
    <row r="107" spans="1:8">
      <c r="A107" s="13" t="s">
        <v>27</v>
      </c>
      <c r="B107" s="13">
        <v>2021</v>
      </c>
      <c r="C107" s="13" t="s">
        <v>43</v>
      </c>
      <c r="D107" s="13" t="s">
        <v>36</v>
      </c>
      <c r="E107" s="27" t="s">
        <v>35</v>
      </c>
      <c r="F107" s="21">
        <v>93654.903576851502</v>
      </c>
      <c r="G107" s="21">
        <v>103617.33098992299</v>
      </c>
      <c r="H107" s="21">
        <v>9507.0893647982994</v>
      </c>
    </row>
    <row r="108" spans="1:8">
      <c r="A108" s="13" t="s">
        <v>27</v>
      </c>
      <c r="B108" s="13">
        <v>2021</v>
      </c>
      <c r="C108" s="13" t="s">
        <v>43</v>
      </c>
      <c r="D108" s="13" t="s">
        <v>37</v>
      </c>
      <c r="E108" s="27" t="s">
        <v>35</v>
      </c>
      <c r="F108" s="21">
        <v>147565.48275444799</v>
      </c>
      <c r="G108" s="21">
        <v>168675.24706855099</v>
      </c>
      <c r="H108" s="21">
        <v>20656.486033358</v>
      </c>
    </row>
    <row r="109" spans="1:8">
      <c r="A109" s="13" t="s">
        <v>27</v>
      </c>
      <c r="B109" s="13">
        <v>2021</v>
      </c>
      <c r="C109" s="13" t="s">
        <v>43</v>
      </c>
      <c r="D109" s="13" t="s">
        <v>38</v>
      </c>
      <c r="E109" s="27" t="s">
        <v>35</v>
      </c>
      <c r="F109" s="21">
        <v>324191.76437341899</v>
      </c>
      <c r="G109" s="21">
        <v>357713.20675217698</v>
      </c>
      <c r="H109" s="21">
        <v>33066.428372651098</v>
      </c>
    </row>
    <row r="110" spans="1:8">
      <c r="A110" s="13" t="s">
        <v>27</v>
      </c>
      <c r="B110" s="13">
        <v>2021</v>
      </c>
      <c r="C110" s="13" t="s">
        <v>43</v>
      </c>
      <c r="D110" s="13" t="s">
        <v>39</v>
      </c>
      <c r="E110" s="27" t="s">
        <v>35</v>
      </c>
      <c r="F110" s="21">
        <v>721977.94419027795</v>
      </c>
      <c r="G110" s="21">
        <v>785228.30882746901</v>
      </c>
      <c r="H110" s="21">
        <v>62792.066552607299</v>
      </c>
    </row>
    <row r="111" spans="1:8">
      <c r="A111" s="13" t="s">
        <v>27</v>
      </c>
      <c r="B111" s="13">
        <v>2021</v>
      </c>
      <c r="C111" s="13" t="s">
        <v>43</v>
      </c>
      <c r="D111" s="13" t="s">
        <v>40</v>
      </c>
      <c r="E111" s="27" t="s">
        <v>35</v>
      </c>
      <c r="F111" s="21">
        <v>1177566.6907170501</v>
      </c>
      <c r="G111" s="21">
        <v>1304717.10291589</v>
      </c>
      <c r="H111" s="21">
        <v>126698.857144776</v>
      </c>
    </row>
    <row r="112" spans="1:8">
      <c r="A112" s="13" t="s">
        <v>27</v>
      </c>
      <c r="B112" s="13">
        <v>2021</v>
      </c>
      <c r="C112" s="13" t="s">
        <v>43</v>
      </c>
      <c r="D112" s="13" t="s">
        <v>41</v>
      </c>
      <c r="E112" s="27" t="s">
        <v>35</v>
      </c>
      <c r="F112" s="21">
        <v>1567336.7095675899</v>
      </c>
      <c r="G112" s="21">
        <v>1746416.86142025</v>
      </c>
      <c r="H112" s="21">
        <v>178633.40194899001</v>
      </c>
    </row>
    <row r="113" spans="1:8">
      <c r="A113" s="14" t="s">
        <v>27</v>
      </c>
      <c r="B113" s="14">
        <v>2021</v>
      </c>
      <c r="C113" s="14" t="s">
        <v>43</v>
      </c>
      <c r="D113" s="14" t="s">
        <v>42</v>
      </c>
      <c r="E113" s="28" t="s">
        <v>35</v>
      </c>
      <c r="F113" s="22">
        <v>1481706.2618931399</v>
      </c>
      <c r="G113" s="22">
        <v>1688772.8484893499</v>
      </c>
      <c r="H113" s="22">
        <v>206632.643755442</v>
      </c>
    </row>
    <row r="114" spans="1:8">
      <c r="A114" s="25" t="s">
        <v>27</v>
      </c>
      <c r="B114" s="25">
        <v>2021</v>
      </c>
      <c r="C114" s="25" t="s">
        <v>33</v>
      </c>
      <c r="D114" s="25" t="s">
        <v>34</v>
      </c>
      <c r="E114" s="26" t="s">
        <v>35</v>
      </c>
      <c r="F114" s="45">
        <v>58301.335731580002</v>
      </c>
      <c r="G114" s="45">
        <v>60555.103049286001</v>
      </c>
      <c r="H114" s="45">
        <v>2102.3968652762801</v>
      </c>
    </row>
    <row r="115" spans="1:8">
      <c r="A115" s="25" t="s">
        <v>27</v>
      </c>
      <c r="B115" s="25">
        <v>2021</v>
      </c>
      <c r="C115" s="25" t="s">
        <v>33</v>
      </c>
      <c r="D115" s="25" t="s">
        <v>36</v>
      </c>
      <c r="E115" s="26" t="s">
        <v>35</v>
      </c>
      <c r="F115" s="45">
        <v>38452.412411024801</v>
      </c>
      <c r="G115" s="45">
        <v>44541.355558785297</v>
      </c>
      <c r="H115" s="45">
        <v>5941.5379191974898</v>
      </c>
    </row>
    <row r="116" spans="1:8">
      <c r="A116" s="25" t="s">
        <v>27</v>
      </c>
      <c r="B116" s="25">
        <v>2021</v>
      </c>
      <c r="C116" s="25" t="s">
        <v>33</v>
      </c>
      <c r="D116" s="25" t="s">
        <v>37</v>
      </c>
      <c r="E116" s="26" t="s">
        <v>35</v>
      </c>
      <c r="F116" s="45">
        <v>75951.999660205096</v>
      </c>
      <c r="G116" s="45">
        <v>87919.946313317196</v>
      </c>
      <c r="H116" s="45">
        <v>11821.5698887241</v>
      </c>
    </row>
    <row r="117" spans="1:8">
      <c r="A117" s="25" t="s">
        <v>27</v>
      </c>
      <c r="B117" s="25">
        <v>2021</v>
      </c>
      <c r="C117" s="25" t="s">
        <v>33</v>
      </c>
      <c r="D117" s="25" t="s">
        <v>38</v>
      </c>
      <c r="E117" s="26" t="s">
        <v>35</v>
      </c>
      <c r="F117" s="45">
        <v>176846.694981056</v>
      </c>
      <c r="G117" s="45">
        <v>205541.17417648601</v>
      </c>
      <c r="H117" s="45">
        <v>28551.459480925401</v>
      </c>
    </row>
    <row r="118" spans="1:8">
      <c r="A118" s="25" t="s">
        <v>27</v>
      </c>
      <c r="B118" s="25">
        <v>2021</v>
      </c>
      <c r="C118" s="25" t="s">
        <v>33</v>
      </c>
      <c r="D118" s="25" t="s">
        <v>39</v>
      </c>
      <c r="E118" s="26" t="s">
        <v>35</v>
      </c>
      <c r="F118" s="45">
        <v>402935.53476661799</v>
      </c>
      <c r="G118" s="45">
        <v>469458.31927563198</v>
      </c>
      <c r="H118" s="45">
        <v>66387.512545916907</v>
      </c>
    </row>
    <row r="119" spans="1:8">
      <c r="A119" s="25" t="s">
        <v>27</v>
      </c>
      <c r="B119" s="25">
        <v>2021</v>
      </c>
      <c r="C119" s="25" t="s">
        <v>33</v>
      </c>
      <c r="D119" s="25" t="s">
        <v>40</v>
      </c>
      <c r="E119" s="26" t="s">
        <v>35</v>
      </c>
      <c r="F119" s="45">
        <v>762804.19446792302</v>
      </c>
      <c r="G119" s="45">
        <v>878014.13214737899</v>
      </c>
      <c r="H119" s="45">
        <v>115079.51674345499</v>
      </c>
    </row>
    <row r="120" spans="1:8">
      <c r="A120" s="25" t="s">
        <v>27</v>
      </c>
      <c r="B120" s="25">
        <v>2021</v>
      </c>
      <c r="C120" s="25" t="s">
        <v>33</v>
      </c>
      <c r="D120" s="25" t="s">
        <v>41</v>
      </c>
      <c r="E120" s="26" t="s">
        <v>35</v>
      </c>
      <c r="F120" s="45">
        <v>1363451.2812639</v>
      </c>
      <c r="G120" s="45">
        <v>1502541.31706177</v>
      </c>
      <c r="H120" s="45">
        <v>138930.46218204201</v>
      </c>
    </row>
    <row r="121" spans="1:8">
      <c r="A121" s="29" t="s">
        <v>27</v>
      </c>
      <c r="B121" s="29">
        <v>2021</v>
      </c>
      <c r="C121" s="29" t="s">
        <v>33</v>
      </c>
      <c r="D121" s="29" t="s">
        <v>42</v>
      </c>
      <c r="E121" s="30" t="s">
        <v>35</v>
      </c>
      <c r="F121" s="46">
        <v>2575740.6107415101</v>
      </c>
      <c r="G121" s="46">
        <v>2719575.64588502</v>
      </c>
      <c r="H121" s="46">
        <v>143588.41568247299</v>
      </c>
    </row>
    <row r="122" spans="1:8">
      <c r="A122" s="47" t="s">
        <v>27</v>
      </c>
      <c r="B122" s="47">
        <v>2021</v>
      </c>
      <c r="C122" s="47" t="s">
        <v>43</v>
      </c>
      <c r="D122" s="47" t="s">
        <v>34</v>
      </c>
      <c r="E122" s="48" t="s">
        <v>35</v>
      </c>
      <c r="F122" s="49">
        <v>98727.125350695598</v>
      </c>
      <c r="G122" s="49">
        <v>105586.828661222</v>
      </c>
      <c r="H122" s="49">
        <v>6708.3173732726</v>
      </c>
    </row>
    <row r="123" spans="1:8">
      <c r="A123" s="47" t="s">
        <v>27</v>
      </c>
      <c r="B123" s="47">
        <v>2021</v>
      </c>
      <c r="C123" s="47" t="s">
        <v>43</v>
      </c>
      <c r="D123" s="47" t="s">
        <v>36</v>
      </c>
      <c r="E123" s="48" t="s">
        <v>35</v>
      </c>
      <c r="F123" s="49">
        <v>91976.442184264495</v>
      </c>
      <c r="G123" s="49">
        <v>107403.742633979</v>
      </c>
      <c r="H123" s="49">
        <v>15281.9779889441</v>
      </c>
    </row>
    <row r="124" spans="1:8">
      <c r="A124" s="47" t="s">
        <v>27</v>
      </c>
      <c r="B124" s="47">
        <v>2021</v>
      </c>
      <c r="C124" s="47" t="s">
        <v>43</v>
      </c>
      <c r="D124" s="47" t="s">
        <v>37</v>
      </c>
      <c r="E124" s="48" t="s">
        <v>35</v>
      </c>
      <c r="F124" s="49">
        <v>146354.53899453301</v>
      </c>
      <c r="G124" s="49">
        <v>172856.29639169399</v>
      </c>
      <c r="H124" s="49">
        <v>26359.581188714699</v>
      </c>
    </row>
    <row r="125" spans="1:8">
      <c r="A125" s="47" t="s">
        <v>27</v>
      </c>
      <c r="B125" s="47">
        <v>2021</v>
      </c>
      <c r="C125" s="47" t="s">
        <v>43</v>
      </c>
      <c r="D125" s="47" t="s">
        <v>38</v>
      </c>
      <c r="E125" s="48" t="s">
        <v>35</v>
      </c>
      <c r="F125" s="49">
        <v>321361.77617837</v>
      </c>
      <c r="G125" s="49">
        <v>379888.33514646598</v>
      </c>
      <c r="H125" s="49">
        <v>58392.160793939503</v>
      </c>
    </row>
    <row r="126" spans="1:8">
      <c r="A126" s="47" t="s">
        <v>27</v>
      </c>
      <c r="B126" s="47">
        <v>2021</v>
      </c>
      <c r="C126" s="47" t="s">
        <v>43</v>
      </c>
      <c r="D126" s="47" t="s">
        <v>39</v>
      </c>
      <c r="E126" s="48" t="s">
        <v>35</v>
      </c>
      <c r="F126" s="49">
        <v>722645.99305896799</v>
      </c>
      <c r="G126" s="49">
        <v>856990.51869665901</v>
      </c>
      <c r="H126" s="49">
        <v>134229.51131632199</v>
      </c>
    </row>
    <row r="127" spans="1:8">
      <c r="A127" s="47" t="s">
        <v>27</v>
      </c>
      <c r="B127" s="47">
        <v>2021</v>
      </c>
      <c r="C127" s="47" t="s">
        <v>43</v>
      </c>
      <c r="D127" s="47" t="s">
        <v>40</v>
      </c>
      <c r="E127" s="48" t="s">
        <v>35</v>
      </c>
      <c r="F127" s="49">
        <v>1197521.0808087301</v>
      </c>
      <c r="G127" s="49">
        <v>1382126.37933487</v>
      </c>
      <c r="H127" s="49">
        <v>184487.60673840001</v>
      </c>
    </row>
    <row r="128" spans="1:8">
      <c r="A128" s="47" t="s">
        <v>27</v>
      </c>
      <c r="B128" s="47">
        <v>2021</v>
      </c>
      <c r="C128" s="47" t="s">
        <v>43</v>
      </c>
      <c r="D128" s="47" t="s">
        <v>41</v>
      </c>
      <c r="E128" s="48" t="s">
        <v>35</v>
      </c>
      <c r="F128" s="49">
        <v>1579402.0263852701</v>
      </c>
      <c r="G128" s="49">
        <v>1753755.85679029</v>
      </c>
      <c r="H128" s="49">
        <v>174201.09350649099</v>
      </c>
    </row>
    <row r="129" spans="1:8">
      <c r="A129" s="50" t="s">
        <v>27</v>
      </c>
      <c r="B129" s="50">
        <v>2021</v>
      </c>
      <c r="C129" s="50" t="s">
        <v>43</v>
      </c>
      <c r="D129" s="50" t="s">
        <v>42</v>
      </c>
      <c r="E129" s="51" t="s">
        <v>35</v>
      </c>
      <c r="F129" s="52">
        <v>1522434.1525039</v>
      </c>
      <c r="G129" s="52">
        <v>1686031.01887715</v>
      </c>
      <c r="H129" s="52">
        <v>163441.38185460199</v>
      </c>
    </row>
  </sheetData>
  <sortState xmlns:xlrd2="http://schemas.microsoft.com/office/spreadsheetml/2017/richdata2" ref="B2:B129">
    <sortCondition ref="B1:B129"/>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79464-E22D-4559-9EB1-1C4FF647CBFE}">
  <sheetPr codeName="Sheet6"/>
  <dimension ref="A3:D11"/>
  <sheetViews>
    <sheetView workbookViewId="0">
      <selection activeCell="L5" sqref="L5"/>
    </sheetView>
  </sheetViews>
  <sheetFormatPr defaultRowHeight="14.4"/>
  <cols>
    <col min="1" max="1" width="12.44140625" bestFit="1" customWidth="1"/>
    <col min="2" max="2" width="19.88671875" bestFit="1" customWidth="1"/>
    <col min="3" max="3" width="18.77734375" bestFit="1" customWidth="1"/>
    <col min="4" max="4" width="15.77734375" bestFit="1" customWidth="1"/>
  </cols>
  <sheetData>
    <row r="3" spans="1:4">
      <c r="A3" s="59" t="s">
        <v>56</v>
      </c>
      <c r="B3" t="s">
        <v>58</v>
      </c>
      <c r="C3" t="s">
        <v>59</v>
      </c>
      <c r="D3" t="s">
        <v>57</v>
      </c>
    </row>
    <row r="4" spans="1:4">
      <c r="A4" s="60" t="s">
        <v>42</v>
      </c>
      <c r="B4">
        <v>19300806.115980167</v>
      </c>
      <c r="C4">
        <v>2681421.0850117086</v>
      </c>
      <c r="D4">
        <v>21988443.084540904</v>
      </c>
    </row>
    <row r="5" spans="1:4">
      <c r="A5" s="60" t="s">
        <v>34</v>
      </c>
      <c r="B5">
        <v>14021825.103958055</v>
      </c>
      <c r="C5">
        <v>-23652.475943215755</v>
      </c>
      <c r="D5">
        <v>14013178.326986654</v>
      </c>
    </row>
    <row r="6" spans="1:4">
      <c r="A6" s="60" t="s">
        <v>36</v>
      </c>
      <c r="B6">
        <v>3725878.3709196057</v>
      </c>
      <c r="C6">
        <v>83664.653817959508</v>
      </c>
      <c r="D6">
        <v>3820551.9516977738</v>
      </c>
    </row>
    <row r="7" spans="1:4">
      <c r="A7" s="60" t="s">
        <v>37</v>
      </c>
      <c r="B7">
        <v>5087512.4984828383</v>
      </c>
      <c r="C7">
        <v>654062.42606902076</v>
      </c>
      <c r="D7">
        <v>5751247.6826894693</v>
      </c>
    </row>
    <row r="8" spans="1:4">
      <c r="A8" s="60" t="s">
        <v>38</v>
      </c>
      <c r="B8">
        <v>8555811.5375059787</v>
      </c>
      <c r="C8">
        <v>1660785.5339498434</v>
      </c>
      <c r="D8">
        <v>10224351.165224647</v>
      </c>
    </row>
    <row r="9" spans="1:4">
      <c r="A9" s="60" t="s">
        <v>39</v>
      </c>
      <c r="B9">
        <v>14904544.452536423</v>
      </c>
      <c r="C9">
        <v>2952018.3123782217</v>
      </c>
      <c r="D9">
        <v>17862249.443863425</v>
      </c>
    </row>
    <row r="10" spans="1:4">
      <c r="A10" s="60" t="s">
        <v>40</v>
      </c>
      <c r="B10">
        <v>21951644.77111762</v>
      </c>
      <c r="C10">
        <v>3964178.3321823305</v>
      </c>
      <c r="D10">
        <v>25920911.335594513</v>
      </c>
    </row>
    <row r="11" spans="1:4">
      <c r="A11" s="60" t="s">
        <v>41</v>
      </c>
      <c r="B11">
        <v>24183737.514077634</v>
      </c>
      <c r="C11">
        <v>2890409.2050991799</v>
      </c>
      <c r="D11">
        <v>27083636.848076988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13291-2FC2-4AF2-90A0-3933E8B681A1}">
  <sheetPr codeName="Sheet7"/>
  <dimension ref="A3:D5"/>
  <sheetViews>
    <sheetView tabSelected="1" workbookViewId="0">
      <selection activeCell="A4" sqref="A4:D5"/>
    </sheetView>
  </sheetViews>
  <sheetFormatPr defaultRowHeight="14.4"/>
  <cols>
    <col min="1" max="1" width="12.44140625" bestFit="1" customWidth="1"/>
    <col min="2" max="2" width="15.77734375" bestFit="1" customWidth="1"/>
    <col min="3" max="3" width="19.88671875" bestFit="1" customWidth="1"/>
    <col min="4" max="4" width="18.77734375" bestFit="1" customWidth="1"/>
  </cols>
  <sheetData>
    <row r="3" spans="1:4">
      <c r="A3" s="59" t="s">
        <v>56</v>
      </c>
      <c r="B3" t="s">
        <v>57</v>
      </c>
      <c r="C3" t="s">
        <v>58</v>
      </c>
      <c r="D3" t="s">
        <v>59</v>
      </c>
    </row>
    <row r="4" spans="1:4">
      <c r="A4" s="60">
        <v>2020</v>
      </c>
      <c r="B4">
        <v>61960715.800674342</v>
      </c>
      <c r="C4">
        <v>53548883.996637225</v>
      </c>
      <c r="D4">
        <v>8405236.4458543397</v>
      </c>
    </row>
    <row r="5" spans="1:4">
      <c r="A5" s="60">
        <v>2021</v>
      </c>
      <c r="B5">
        <v>64703854.03800001</v>
      </c>
      <c r="C5">
        <v>58182876.367941104</v>
      </c>
      <c r="D5">
        <v>6457650.626710712</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cro2">
                <anchor moveWithCells="1" sizeWithCells="1">
                  <from>
                    <xdr:col>5</xdr:col>
                    <xdr:colOff>350520</xdr:colOff>
                    <xdr:row>2</xdr:row>
                    <xdr:rowOff>30480</xdr:rowOff>
                  </from>
                  <to>
                    <xdr:col>10</xdr:col>
                    <xdr:colOff>144780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B4406-CA3E-4A1A-BC12-6B24B4C3659D}">
  <sheetPr codeName="Sheet8"/>
  <dimension ref="A3:D5"/>
  <sheetViews>
    <sheetView workbookViewId="0">
      <selection activeCell="I3" sqref="I3"/>
    </sheetView>
  </sheetViews>
  <sheetFormatPr defaultRowHeight="14.4"/>
  <cols>
    <col min="1" max="1" width="12.44140625" bestFit="1" customWidth="1"/>
    <col min="2" max="2" width="19.88671875" bestFit="1" customWidth="1"/>
    <col min="3" max="3" width="18.77734375" bestFit="1" customWidth="1"/>
    <col min="4" max="4" width="15.77734375" bestFit="1" customWidth="1"/>
  </cols>
  <sheetData>
    <row r="3" spans="1:4">
      <c r="A3" s="59" t="s">
        <v>56</v>
      </c>
      <c r="B3" t="s">
        <v>58</v>
      </c>
      <c r="C3" t="s">
        <v>59</v>
      </c>
      <c r="D3" t="s">
        <v>57</v>
      </c>
    </row>
    <row r="4" spans="1:4">
      <c r="A4" s="60" t="s">
        <v>33</v>
      </c>
      <c r="B4">
        <v>51378830.184359886</v>
      </c>
      <c r="C4">
        <v>6601298.3458115831</v>
      </c>
      <c r="D4">
        <v>58016433.568321943</v>
      </c>
    </row>
    <row r="5" spans="1:4">
      <c r="A5" s="60" t="s">
        <v>43</v>
      </c>
      <c r="B5">
        <v>60352930.180218421</v>
      </c>
      <c r="C5">
        <v>8261588.7267534677</v>
      </c>
      <c r="D5">
        <v>68648136.270352423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E5352-7A91-46AB-9242-2A36BDF59101}">
  <sheetPr codeName="Sheet9"/>
  <dimension ref="A1:M42"/>
  <sheetViews>
    <sheetView showGridLines="0" workbookViewId="0">
      <selection activeCell="P10" sqref="P10"/>
    </sheetView>
  </sheetViews>
  <sheetFormatPr defaultRowHeight="14.4"/>
  <sheetData>
    <row r="1" spans="1:13" ht="24" thickBot="1">
      <c r="A1" s="75" t="s">
        <v>60</v>
      </c>
      <c r="B1" s="76"/>
      <c r="C1" s="76"/>
      <c r="D1" s="76"/>
      <c r="E1" s="76"/>
      <c r="F1" s="76"/>
      <c r="G1" s="76"/>
      <c r="H1" s="76"/>
      <c r="I1" s="76"/>
      <c r="J1" s="76"/>
      <c r="K1" s="76"/>
      <c r="L1" s="76"/>
      <c r="M1" s="77"/>
    </row>
    <row r="2" spans="1:13">
      <c r="A2" s="61"/>
      <c r="B2" s="61"/>
      <c r="C2" s="61"/>
      <c r="D2" s="61"/>
      <c r="E2" s="61"/>
      <c r="F2" s="61"/>
      <c r="G2" s="61"/>
      <c r="H2" s="61"/>
      <c r="I2" s="61"/>
      <c r="J2" s="61"/>
      <c r="K2" s="61"/>
      <c r="L2" s="61"/>
      <c r="M2" s="61"/>
    </row>
    <row r="3" spans="1:13">
      <c r="A3" s="61"/>
      <c r="B3" s="61"/>
      <c r="C3" s="61"/>
      <c r="D3" s="61"/>
      <c r="E3" s="61"/>
      <c r="F3" s="61"/>
      <c r="G3" s="61"/>
      <c r="H3" s="61"/>
      <c r="I3" s="61"/>
      <c r="J3" s="61"/>
      <c r="K3" s="61"/>
      <c r="L3" s="61"/>
      <c r="M3" s="61"/>
    </row>
    <row r="4" spans="1:13">
      <c r="A4" s="61"/>
      <c r="B4" s="61"/>
      <c r="C4" s="61"/>
      <c r="D4" s="61"/>
      <c r="E4" s="61"/>
      <c r="F4" s="61"/>
      <c r="G4" s="61"/>
      <c r="H4" s="61"/>
      <c r="I4" s="61"/>
      <c r="J4" s="61"/>
      <c r="K4" s="61"/>
      <c r="L4" s="61"/>
      <c r="M4" s="61"/>
    </row>
    <row r="5" spans="1:13">
      <c r="A5" s="61"/>
      <c r="B5" s="61"/>
      <c r="C5" s="61"/>
      <c r="D5" s="61"/>
      <c r="E5" s="61"/>
      <c r="F5" s="61"/>
      <c r="G5" s="61"/>
      <c r="H5" s="61"/>
      <c r="I5" s="61"/>
      <c r="J5" s="61"/>
      <c r="K5" s="61"/>
      <c r="L5" s="61"/>
      <c r="M5" s="61"/>
    </row>
    <row r="6" spans="1:13">
      <c r="A6" s="61"/>
      <c r="B6" s="61"/>
      <c r="C6" s="61"/>
      <c r="D6" s="61"/>
      <c r="E6" s="61"/>
      <c r="F6" s="61"/>
      <c r="G6" s="61"/>
      <c r="H6" s="61"/>
      <c r="I6" s="61"/>
      <c r="J6" s="61"/>
      <c r="K6" s="61"/>
      <c r="L6" s="61"/>
      <c r="M6" s="61"/>
    </row>
    <row r="7" spans="1:13">
      <c r="A7" s="61"/>
      <c r="B7" s="61"/>
      <c r="C7" s="61"/>
      <c r="D7" s="61"/>
      <c r="E7" s="61"/>
      <c r="F7" s="61"/>
      <c r="G7" s="61"/>
      <c r="H7" s="61"/>
      <c r="I7" s="61"/>
      <c r="J7" s="61"/>
      <c r="K7" s="61"/>
      <c r="L7" s="61"/>
      <c r="M7" s="61"/>
    </row>
    <row r="8" spans="1:13">
      <c r="A8" s="61"/>
      <c r="B8" s="61"/>
      <c r="C8" s="61"/>
      <c r="D8" s="61"/>
      <c r="E8" s="61"/>
      <c r="F8" s="61"/>
      <c r="G8" s="61"/>
      <c r="H8" s="61"/>
      <c r="I8" s="61"/>
      <c r="J8" s="61"/>
      <c r="K8" s="61"/>
      <c r="L8" s="61"/>
      <c r="M8" s="61"/>
    </row>
    <row r="9" spans="1:13">
      <c r="A9" s="61"/>
      <c r="B9" s="61"/>
      <c r="C9" s="61"/>
      <c r="D9" s="61"/>
      <c r="E9" s="61"/>
      <c r="F9" s="61"/>
      <c r="G9" s="61"/>
      <c r="H9" s="61"/>
      <c r="I9" s="61"/>
      <c r="J9" s="61"/>
      <c r="K9" s="61"/>
      <c r="L9" s="61"/>
      <c r="M9" s="61"/>
    </row>
    <row r="10" spans="1:13">
      <c r="A10" s="61"/>
      <c r="B10" s="61"/>
      <c r="C10" s="61"/>
      <c r="D10" s="61"/>
      <c r="E10" s="61"/>
      <c r="F10" s="61"/>
      <c r="G10" s="61"/>
      <c r="H10" s="61"/>
      <c r="I10" s="61"/>
      <c r="J10" s="61"/>
      <c r="K10" s="61"/>
      <c r="L10" s="61"/>
      <c r="M10" s="61"/>
    </row>
    <row r="11" spans="1:13">
      <c r="A11" s="61"/>
      <c r="B11" s="61"/>
      <c r="C11" s="61"/>
      <c r="D11" s="61"/>
      <c r="E11" s="61"/>
      <c r="F11" s="61"/>
      <c r="G11" s="61"/>
      <c r="H11" s="61"/>
      <c r="I11" s="61"/>
      <c r="J11" s="61"/>
      <c r="K11" s="61"/>
      <c r="L11" s="61"/>
      <c r="M11" s="61"/>
    </row>
    <row r="12" spans="1:13">
      <c r="A12" s="61"/>
      <c r="B12" s="61"/>
      <c r="C12" s="61"/>
      <c r="D12" s="61"/>
      <c r="E12" s="61"/>
      <c r="F12" s="61"/>
      <c r="G12" s="61"/>
      <c r="H12" s="61"/>
      <c r="I12" s="61"/>
      <c r="J12" s="61"/>
      <c r="K12" s="61"/>
      <c r="L12" s="61"/>
      <c r="M12" s="61"/>
    </row>
    <row r="13" spans="1:13">
      <c r="A13" s="61"/>
      <c r="B13" s="61"/>
      <c r="C13" s="61"/>
      <c r="D13" s="61"/>
      <c r="E13" s="61"/>
      <c r="F13" s="61"/>
      <c r="G13" s="61"/>
      <c r="H13" s="61"/>
      <c r="I13" s="61"/>
      <c r="J13" s="61"/>
      <c r="K13" s="61"/>
      <c r="L13" s="61"/>
      <c r="M13" s="61"/>
    </row>
    <row r="14" spans="1:13">
      <c r="A14" s="61"/>
      <c r="B14" s="61"/>
      <c r="C14" s="61"/>
      <c r="D14" s="61"/>
      <c r="E14" s="61"/>
      <c r="F14" s="61"/>
      <c r="G14" s="61"/>
      <c r="H14" s="61"/>
      <c r="I14" s="61"/>
      <c r="J14" s="61"/>
      <c r="K14" s="61"/>
      <c r="L14" s="61"/>
      <c r="M14" s="61"/>
    </row>
    <row r="15" spans="1:13">
      <c r="A15" s="61"/>
      <c r="B15" s="61"/>
      <c r="C15" s="61"/>
      <c r="D15" s="61"/>
      <c r="E15" s="61"/>
      <c r="F15" s="61"/>
      <c r="G15" s="61"/>
      <c r="H15" s="61"/>
      <c r="I15" s="61"/>
      <c r="J15" s="61"/>
      <c r="K15" s="61"/>
      <c r="L15" s="61"/>
      <c r="M15" s="61"/>
    </row>
    <row r="16" spans="1:13">
      <c r="A16" s="61"/>
      <c r="B16" s="61"/>
      <c r="C16" s="61"/>
      <c r="D16" s="61"/>
      <c r="E16" s="61"/>
      <c r="F16" s="61"/>
      <c r="G16" s="61"/>
      <c r="H16" s="61"/>
      <c r="I16" s="61"/>
      <c r="J16" s="61"/>
      <c r="K16" s="61"/>
      <c r="L16" s="61"/>
      <c r="M16" s="61"/>
    </row>
    <row r="17" spans="1:13">
      <c r="A17" s="61"/>
      <c r="B17" s="61"/>
      <c r="C17" s="61"/>
      <c r="D17" s="61"/>
      <c r="E17" s="61"/>
      <c r="F17" s="61"/>
      <c r="G17" s="61"/>
      <c r="H17" s="61"/>
      <c r="I17" s="61"/>
      <c r="J17" s="61"/>
      <c r="K17" s="61"/>
      <c r="L17" s="61"/>
      <c r="M17" s="61"/>
    </row>
    <row r="18" spans="1:13">
      <c r="A18" s="61"/>
      <c r="B18" s="61"/>
      <c r="C18" s="61"/>
      <c r="D18" s="61"/>
      <c r="E18" s="61"/>
      <c r="F18" s="61"/>
      <c r="G18" s="61"/>
      <c r="H18" s="61"/>
      <c r="I18" s="61"/>
      <c r="J18" s="61"/>
      <c r="K18" s="61"/>
      <c r="L18" s="61"/>
      <c r="M18" s="61"/>
    </row>
    <row r="19" spans="1:13">
      <c r="A19" s="61"/>
      <c r="B19" s="61"/>
      <c r="C19" s="61"/>
      <c r="D19" s="61"/>
      <c r="E19" s="61"/>
      <c r="F19" s="61"/>
      <c r="G19" s="61"/>
      <c r="H19" s="61"/>
      <c r="I19" s="61"/>
      <c r="J19" s="61"/>
      <c r="K19" s="61"/>
      <c r="L19" s="61"/>
      <c r="M19" s="61"/>
    </row>
    <row r="20" spans="1:13">
      <c r="A20" s="61"/>
      <c r="B20" s="61"/>
      <c r="C20" s="61"/>
      <c r="D20" s="61"/>
      <c r="E20" s="61"/>
      <c r="F20" s="61"/>
      <c r="G20" s="61"/>
      <c r="H20" s="61"/>
      <c r="I20" s="61"/>
      <c r="J20" s="61"/>
      <c r="K20" s="61"/>
      <c r="L20" s="61"/>
      <c r="M20" s="61"/>
    </row>
    <row r="21" spans="1:13">
      <c r="A21" s="61"/>
      <c r="B21" s="61"/>
      <c r="C21" s="61"/>
      <c r="D21" s="61"/>
      <c r="E21" s="61"/>
      <c r="F21" s="61"/>
      <c r="G21" s="61"/>
      <c r="H21" s="61"/>
      <c r="I21" s="61"/>
      <c r="J21" s="61"/>
      <c r="K21" s="61"/>
      <c r="L21" s="61"/>
      <c r="M21" s="61"/>
    </row>
    <row r="22" spans="1:13">
      <c r="A22" s="61"/>
      <c r="B22" s="61"/>
      <c r="C22" s="61"/>
      <c r="D22" s="61"/>
      <c r="E22" s="61"/>
      <c r="F22" s="61"/>
      <c r="G22" s="61"/>
      <c r="H22" s="61"/>
      <c r="I22" s="61"/>
      <c r="J22" s="61"/>
      <c r="K22" s="61"/>
      <c r="L22" s="61"/>
      <c r="M22" s="61"/>
    </row>
    <row r="23" spans="1:13">
      <c r="A23" s="61"/>
      <c r="B23" s="61"/>
      <c r="C23" s="61"/>
      <c r="D23" s="61"/>
      <c r="E23" s="61"/>
      <c r="F23" s="61"/>
      <c r="G23" s="61"/>
      <c r="H23" s="61"/>
      <c r="I23" s="61"/>
      <c r="J23" s="61"/>
      <c r="K23" s="61"/>
      <c r="L23" s="61"/>
      <c r="M23" s="61"/>
    </row>
    <row r="24" spans="1:13">
      <c r="A24" s="61"/>
      <c r="B24" s="61"/>
      <c r="C24" s="61"/>
      <c r="D24" s="61"/>
      <c r="E24" s="61"/>
      <c r="F24" s="61"/>
      <c r="G24" s="61"/>
      <c r="H24" s="61"/>
      <c r="I24" s="61"/>
      <c r="J24" s="61"/>
      <c r="K24" s="61"/>
      <c r="L24" s="61"/>
      <c r="M24" s="61"/>
    </row>
    <row r="25" spans="1:13">
      <c r="A25" s="61"/>
      <c r="B25" s="61"/>
      <c r="C25" s="61"/>
      <c r="D25" s="61"/>
      <c r="E25" s="61"/>
      <c r="F25" s="61"/>
      <c r="G25" s="61"/>
      <c r="H25" s="61"/>
      <c r="I25" s="61"/>
      <c r="J25" s="61"/>
      <c r="K25" s="61"/>
      <c r="L25" s="61"/>
      <c r="M25" s="61"/>
    </row>
    <row r="26" spans="1:13">
      <c r="A26" s="61"/>
      <c r="B26" s="61"/>
      <c r="C26" s="61"/>
      <c r="D26" s="61"/>
      <c r="E26" s="61"/>
      <c r="F26" s="61"/>
      <c r="G26" s="61"/>
      <c r="H26" s="61"/>
      <c r="I26" s="61"/>
      <c r="J26" s="61"/>
      <c r="K26" s="61"/>
      <c r="L26" s="61"/>
      <c r="M26" s="61"/>
    </row>
    <row r="27" spans="1:13">
      <c r="A27" s="61"/>
      <c r="B27" s="61"/>
      <c r="C27" s="61"/>
      <c r="D27" s="61"/>
      <c r="E27" s="61"/>
      <c r="F27" s="61"/>
      <c r="G27" s="61"/>
      <c r="H27" s="61"/>
      <c r="I27" s="61"/>
      <c r="J27" s="61"/>
      <c r="K27" s="61"/>
      <c r="L27" s="61"/>
      <c r="M27" s="61"/>
    </row>
    <row r="28" spans="1:13">
      <c r="A28" s="61"/>
      <c r="B28" s="61"/>
      <c r="C28" s="61"/>
      <c r="D28" s="61"/>
      <c r="E28" s="61"/>
      <c r="F28" s="61"/>
      <c r="G28" s="61"/>
      <c r="H28" s="61"/>
      <c r="I28" s="61"/>
      <c r="J28" s="61"/>
      <c r="K28" s="61"/>
      <c r="L28" s="61"/>
      <c r="M28" s="61"/>
    </row>
    <row r="29" spans="1:13">
      <c r="A29" s="61"/>
      <c r="B29" s="61"/>
      <c r="C29" s="61"/>
      <c r="D29" s="61"/>
      <c r="E29" s="61"/>
      <c r="F29" s="61"/>
      <c r="G29" s="61"/>
      <c r="H29" s="61"/>
      <c r="I29" s="61"/>
      <c r="J29" s="61"/>
      <c r="K29" s="61"/>
      <c r="L29" s="61"/>
      <c r="M29" s="61"/>
    </row>
    <row r="30" spans="1:13">
      <c r="A30" s="61"/>
      <c r="B30" s="61"/>
      <c r="C30" s="61"/>
      <c r="D30" s="61"/>
      <c r="E30" s="61"/>
      <c r="F30" s="61"/>
      <c r="G30" s="61"/>
      <c r="H30" s="61"/>
      <c r="I30" s="61"/>
      <c r="J30" s="61"/>
      <c r="K30" s="61"/>
      <c r="L30" s="61"/>
      <c r="M30" s="61"/>
    </row>
    <row r="31" spans="1:13">
      <c r="A31" s="61"/>
      <c r="B31" s="61"/>
      <c r="C31" s="61"/>
      <c r="D31" s="61"/>
      <c r="E31" s="61"/>
      <c r="F31" s="61"/>
      <c r="G31" s="61"/>
      <c r="H31" s="61"/>
      <c r="I31" s="61"/>
      <c r="J31" s="61"/>
      <c r="K31" s="61"/>
      <c r="L31" s="61"/>
      <c r="M31" s="61"/>
    </row>
    <row r="32" spans="1:13">
      <c r="A32" s="61"/>
      <c r="B32" s="61"/>
      <c r="C32" s="61"/>
      <c r="D32" s="61"/>
      <c r="E32" s="61"/>
      <c r="F32" s="61"/>
      <c r="G32" s="61"/>
      <c r="H32" s="61"/>
      <c r="I32" s="61"/>
      <c r="J32" s="61"/>
      <c r="K32" s="61"/>
      <c r="L32" s="61"/>
      <c r="M32" s="61"/>
    </row>
    <row r="33" spans="1:13">
      <c r="A33" s="61"/>
      <c r="B33" s="61"/>
      <c r="C33" s="61"/>
      <c r="D33" s="61"/>
      <c r="E33" s="61"/>
      <c r="F33" s="61"/>
      <c r="G33" s="61"/>
      <c r="H33" s="61"/>
      <c r="I33" s="61"/>
      <c r="J33" s="61"/>
      <c r="K33" s="61"/>
      <c r="L33" s="61"/>
      <c r="M33" s="61"/>
    </row>
    <row r="34" spans="1:13">
      <c r="A34" s="61"/>
      <c r="B34" s="61"/>
      <c r="C34" s="61"/>
      <c r="D34" s="61"/>
      <c r="E34" s="61"/>
      <c r="F34" s="61"/>
      <c r="G34" s="61"/>
      <c r="H34" s="61"/>
      <c r="I34" s="61"/>
      <c r="J34" s="61"/>
      <c r="K34" s="61"/>
      <c r="L34" s="61"/>
      <c r="M34" s="61"/>
    </row>
    <row r="35" spans="1:13">
      <c r="A35" s="61"/>
      <c r="B35" s="61"/>
      <c r="C35" s="61"/>
      <c r="D35" s="61"/>
      <c r="E35" s="61"/>
      <c r="F35" s="61"/>
      <c r="G35" s="61"/>
      <c r="H35" s="61"/>
      <c r="I35" s="61"/>
      <c r="J35" s="61"/>
      <c r="K35" s="61"/>
      <c r="L35" s="61"/>
      <c r="M35" s="61"/>
    </row>
    <row r="36" spans="1:13">
      <c r="A36" s="61"/>
      <c r="B36" s="61"/>
      <c r="C36" s="61"/>
      <c r="D36" s="61"/>
      <c r="E36" s="61"/>
      <c r="F36" s="61"/>
      <c r="G36" s="61"/>
      <c r="H36" s="61"/>
      <c r="I36" s="61"/>
      <c r="J36" s="61"/>
      <c r="K36" s="61"/>
      <c r="L36" s="61"/>
      <c r="M36" s="61"/>
    </row>
    <row r="37" spans="1:13">
      <c r="A37" s="61"/>
      <c r="B37" s="61"/>
      <c r="C37" s="61"/>
      <c r="D37" s="61"/>
      <c r="E37" s="61"/>
      <c r="F37" s="61"/>
      <c r="G37" s="61"/>
      <c r="H37" s="61"/>
      <c r="I37" s="61"/>
      <c r="J37" s="61"/>
      <c r="K37" s="61"/>
      <c r="L37" s="61"/>
      <c r="M37" s="61"/>
    </row>
    <row r="38" spans="1:13">
      <c r="A38" s="61"/>
      <c r="B38" s="61"/>
      <c r="C38" s="61"/>
      <c r="D38" s="61"/>
      <c r="E38" s="61"/>
      <c r="F38" s="61"/>
      <c r="G38" s="61"/>
      <c r="H38" s="61"/>
      <c r="I38" s="61"/>
      <c r="J38" s="61"/>
      <c r="K38" s="61"/>
      <c r="L38" s="61"/>
      <c r="M38" s="61"/>
    </row>
    <row r="39" spans="1:13">
      <c r="A39" s="61"/>
      <c r="B39" s="61"/>
      <c r="C39" s="61"/>
      <c r="D39" s="61"/>
      <c r="E39" s="61"/>
      <c r="F39" s="61"/>
      <c r="G39" s="61"/>
      <c r="H39" s="61"/>
      <c r="I39" s="61"/>
      <c r="J39" s="61"/>
      <c r="K39" s="61"/>
      <c r="L39" s="61"/>
      <c r="M39" s="61"/>
    </row>
    <row r="40" spans="1:13">
      <c r="A40" s="61"/>
      <c r="B40" s="61"/>
      <c r="C40" s="61"/>
      <c r="D40" s="61"/>
      <c r="E40" s="61"/>
      <c r="F40" s="61"/>
      <c r="G40" s="61"/>
      <c r="H40" s="61"/>
      <c r="I40" s="61"/>
      <c r="J40" s="61"/>
      <c r="K40" s="61"/>
      <c r="L40" s="61"/>
      <c r="M40" s="61"/>
    </row>
    <row r="41" spans="1:13">
      <c r="A41" s="61"/>
      <c r="B41" s="61"/>
      <c r="C41" s="61"/>
      <c r="D41" s="61"/>
      <c r="E41" s="61"/>
      <c r="F41" s="61"/>
      <c r="G41" s="61"/>
      <c r="H41" s="61"/>
      <c r="I41" s="61"/>
      <c r="J41" s="61"/>
      <c r="K41" s="61"/>
      <c r="L41" s="61"/>
      <c r="M41" s="61"/>
    </row>
    <row r="42" spans="1:13">
      <c r="A42" s="61"/>
      <c r="B42" s="61"/>
      <c r="C42" s="61"/>
      <c r="D42" s="61"/>
      <c r="E42" s="61"/>
      <c r="F42" s="61"/>
      <c r="G42" s="61"/>
      <c r="H42" s="61"/>
      <c r="I42" s="61"/>
      <c r="J42" s="61"/>
      <c r="K42" s="61"/>
      <c r="L42" s="61"/>
      <c r="M42" s="61"/>
    </row>
  </sheetData>
  <mergeCells count="1">
    <mergeCell ref="A1:M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Notes</vt:lpstr>
      <vt:lpstr>Deaths by year</vt:lpstr>
      <vt:lpstr>Deaths by year and month</vt:lpstr>
      <vt:lpstr>Deaths by year, sex and age</vt:lpstr>
      <vt:lpstr>data cleaning</vt:lpstr>
      <vt:lpstr>deaths vs. age group</vt:lpstr>
      <vt:lpstr>death vs year</vt:lpstr>
      <vt:lpstr>deaths vs gender</vt:lpstr>
      <vt:lpstr>Dashboard on the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Poulami Das</dc:creator>
  <cp:lastModifiedBy>wanderer</cp:lastModifiedBy>
  <dcterms:created xsi:type="dcterms:W3CDTF">2022-03-28T13:03:41Z</dcterms:created>
  <dcterms:modified xsi:type="dcterms:W3CDTF">2024-02-05T14:12:50Z</dcterms:modified>
</cp:coreProperties>
</file>